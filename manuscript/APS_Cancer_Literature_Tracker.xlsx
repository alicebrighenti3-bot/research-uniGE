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end" sheetId="1" state="visible" r:id="rId1"/>
    <sheet name="Data" sheetId="2" state="visible" r:id="rId2"/>
    <sheet name="Study_Effects" sheetId="3" state="visible" r:id="rId3"/>
    <sheet name="Dashboard"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sz val="10"/>
    </font>
    <font>
      <name val="Arial"/>
      <b val="1"/>
      <sz val="11"/>
    </font>
    <font>
      <name val="Arial"/>
      <b val="1"/>
      <color rgb="00FFFFFF"/>
      <sz val="10"/>
    </font>
    <font>
      <name val="Arial"/>
      <i val="1"/>
      <sz val="10"/>
    </font>
    <font>
      <name val="Arial"/>
      <i val="1"/>
      <color rgb="00666666"/>
      <sz val="9"/>
    </font>
    <font>
      <name val="Arial"/>
      <b val="1"/>
      <color rgb="001F4E78"/>
      <sz val="12"/>
    </font>
    <font>
      <name val="Arial"/>
      <b val="1"/>
      <sz val="10"/>
    </font>
  </fonts>
  <fills count="6">
    <fill>
      <patternFill/>
    </fill>
    <fill>
      <patternFill patternType="gray125"/>
    </fill>
    <fill>
      <patternFill patternType="solid">
        <fgColor rgb="00FFFF00"/>
        <bgColor rgb="00FFFF00"/>
      </patternFill>
    </fill>
    <fill>
      <patternFill patternType="solid">
        <fgColor rgb="00FFF2CC"/>
        <bgColor rgb="00FFF2CC"/>
      </patternFill>
    </fill>
    <fill>
      <patternFill patternType="solid">
        <fgColor rgb="001F4E78"/>
        <bgColor rgb="001F4E78"/>
      </patternFill>
    </fill>
    <fill>
      <patternFill patternType="solid">
        <fgColor rgb="00D9E1F2"/>
        <bgColor rgb="00D9E1F2"/>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3" fillId="0" borderId="0" pivotButton="0" quotePrefix="0" xfId="0"/>
    <xf numFmtId="0" fontId="2" fillId="2" borderId="0" pivotButton="0" quotePrefix="0" xfId="0"/>
    <xf numFmtId="0" fontId="2" fillId="3" borderId="0" pivotButton="0" quotePrefix="0" xfId="0"/>
    <xf numFmtId="0" fontId="4" fillId="4" borderId="1" applyAlignment="1" pivotButton="0" quotePrefix="0" xfId="0">
      <alignment horizontal="center" vertical="center" wrapText="1"/>
    </xf>
    <xf numFmtId="0" fontId="4" fillId="4" borderId="0" pivotButton="0" quotePrefix="0" xfId="0"/>
    <xf numFmtId="0" fontId="5" fillId="3" borderId="1" applyAlignment="1" pivotButton="0" quotePrefix="0" xfId="0">
      <alignment vertical="top" wrapText="1"/>
    </xf>
    <xf numFmtId="0" fontId="2" fillId="2" borderId="1" pivotButton="0" quotePrefix="0" xfId="0"/>
    <xf numFmtId="0" fontId="6" fillId="0" borderId="0" pivotButton="0" quotePrefix="0" xfId="0"/>
    <xf numFmtId="0" fontId="7" fillId="0" borderId="0" pivotButton="0" quotePrefix="0" xfId="0"/>
    <xf numFmtId="0" fontId="2" fillId="0" borderId="0" pivotButton="0" quotePrefix="0" xfId="0"/>
    <xf numFmtId="0" fontId="8" fillId="5" borderId="0" applyAlignment="1" pivotButton="0" quotePrefix="0" xfId="0">
      <alignment horizontal="center"/>
    </xf>
    <xf numFmtId="0" fontId="6"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Tracker</author>
  </authors>
  <commentList>
    <comment ref="A1" authorId="0" shapeId="0">
      <text>
        <t>Y for the worked-example rows only; leave blank for real data.</t>
      </text>
    </comment>
    <comment ref="B1" authorId="0" shapeId="0">
      <text>
        <t>Short key shared by all patients from the same article, e.g. Smith_2022 or Cureus_2024_CaseRep.</t>
      </text>
    </comment>
    <comment ref="C1" authorId="0" shapeId="0">
      <text>
        <t>Identifier within the study, e.g. 1, 2, '3 of 5'.</t>
      </text>
    </comment>
    <comment ref="D1" authorId="0" shapeId="0">
      <text>
        <t>Case report / Case series / Retrospective cohort / Prospective cohort / Registry / RCT.</t>
      </text>
    </comment>
    <comment ref="E1" authorId="0" shapeId="0">
      <text>
        <t>Publication year.</t>
      </text>
    </comment>
    <comment ref="F1" authorId="0" shapeId="0">
      <text>
        <t>Country of the reporting centre, if stated.</t>
      </text>
    </comment>
    <comment ref="G1" authorId="0" shapeId="0">
      <text>
        <t>Patient age in years at the index event.</t>
      </text>
    </comment>
    <comment ref="H1" authorId="0" shapeId="0">
      <text>
        <t>M / F / Not stated.</t>
      </text>
    </comment>
    <comment ref="I1" authorId="0" shapeId="0">
      <text>
        <t>Sapporo 1999 / Sydney 2006 / ACR-EULAR 2023 / Not stated / Not applicable (population A).</t>
      </text>
    </comment>
    <comment ref="J1" authorId="0" shapeId="0">
      <text>
        <t>Single / Double / Triple / Not specified.</t>
      </text>
    </comment>
    <comment ref="K1" authorId="0" shapeId="0">
      <text>
        <t>A = simple/transient aPL positivity; B = defined APS + cancer; C = high-risk/triple-positive APS + cancer. See Legend.</t>
      </text>
    </comment>
    <comment ref="L1" authorId="0" shapeId="0">
      <text>
        <t>Tumour type / haematological malignancy.</t>
      </text>
    </comment>
    <comment ref="M1" authorId="0" shapeId="0">
      <text>
        <t>Chemotherapy / Radiotherapy / Chemo+Radio / Surgery only / None active / Remission.</t>
      </text>
    </comment>
    <comment ref="N1" authorId="0" shapeId="0">
      <text>
        <t>APS diagnosed before cancer / after cancer / concurrently / unclear.</t>
      </text>
    </comment>
    <comment ref="O1" authorId="0" shapeId="0">
      <text>
        <t>Venous / Arterial / Both / Microvascular.</t>
      </text>
    </comment>
    <comment ref="P1" authorId="0" shapeId="0">
      <text>
        <t>Free text, e.g. PE, DVT lower limb, stroke, PICC-line thrombosis.</t>
      </text>
    </comment>
    <comment ref="Q1" authorId="0" shapeId="0">
      <text>
        <t>VKA / DOAC / LMWH / UFH / Switched / Other.</t>
      </text>
    </comment>
    <comment ref="R1" authorId="0" shapeId="0">
      <text>
        <t>Y / N — was there a documented switch between anticoagulant classes?</t>
      </text>
    </comment>
    <comment ref="S1" authorId="0" shapeId="0">
      <text>
        <t>Y / N / NA — recurrent VTE or arterial event on treatment.</t>
      </text>
    </comment>
    <comment ref="T1" authorId="0" shapeId="0">
      <text>
        <t>Y / N / NA — ISTH major bleeding.</t>
      </text>
    </comment>
    <comment ref="U1" authorId="0" shapeId="0">
      <text>
        <t>Y / N / NA — clinically relevant non-major bleeding.</t>
      </text>
    </comment>
    <comment ref="V1" authorId="0" shapeId="0">
      <text>
        <t>Reported follow-up duration in months.</t>
      </text>
    </comment>
    <comment ref="W1" authorId="0" shapeId="0">
      <text>
        <t>Y / N / Unclear.</t>
      </text>
    </comment>
    <comment ref="X1" authorId="0" shapeId="0">
      <text>
        <t>Author, title, journal, year — as complete as available.</t>
      </text>
    </comment>
    <comment ref="Y1" authorId="0" shapeId="0">
      <text>
        <t>Anything ambiguous, especially Population_group judgement calls.</t>
      </text>
    </comment>
  </commentList>
</comments>
</file>

<file path=xl/comments/comment2.xml><?xml version="1.0" encoding="utf-8"?>
<comments xmlns="http://schemas.openxmlformats.org/spreadsheetml/2006/main">
  <authors>
    <author>Tracker</author>
  </authors>
  <commentList>
    <comment ref="A1" authorId="0" shapeId="0">
      <text>
        <t>Y for the worked-example row only; leave blank for real data.</t>
      </text>
    </comment>
    <comment ref="B1" authorId="0" shapeId="0">
      <text>
        <t>Short key for the article, e.g. Pengo_2018_TRAPS. Reuse the same Study_ID as on the Data tab if the same article also contributed patient-level rows there.</t>
      </text>
    </comment>
    <comment ref="C1" authorId="0" shapeId="0">
      <text>
        <t>RCT / Retrospective cohort / Prospective cohort / Registry.</t>
      </text>
    </comment>
    <comment ref="D1" authorId="0" shapeId="0">
      <text>
        <t>The two arms being compared, e.g. 'DOAC vs VKA', 'LMWH vs VKA', 'Rivaroxaban vs VKA'.</t>
      </text>
    </comment>
    <comment ref="E1" authorId="0" shapeId="0">
      <text>
        <t>Overall / Triple-positive only / Cancer present / Cancer absent / Arterial index event / Venous index event / Specific DOAC — the exact stratum this effect estimate applies to.</t>
      </text>
    </comment>
    <comment ref="F1" authorId="0" shapeId="0">
      <text>
        <t>Y / N — does this study report cancer status at all (even just as an exclusion criterion)? This is the single most important column for judging Tier 2 feasibility (Section 2.7).</t>
      </text>
    </comment>
    <comment ref="G1" authorId="0" shapeId="0">
      <text>
        <t>All patients (cancer status not reported) / Cancer excluded by design / Cancer-only stratum reported / Both cancer and non-cancer strata reported separately.</t>
      </text>
    </comment>
    <comment ref="H1" authorId="0" shapeId="0">
      <text>
        <t>Recurrent VTE / Recurrent arterial thrombosis / Any recurrent thrombosis / Major bleeding / CRNMB / All-cause mortality.</t>
      </text>
    </comment>
    <comment ref="I1" authorId="0" shapeId="0">
      <text>
        <t>HR / RR / OR.</t>
      </text>
    </comment>
    <comment ref="J1" authorId="0" shapeId="0">
      <text>
        <t>Point estimate of the effect measure.</t>
      </text>
    </comment>
    <comment ref="K1" authorId="0" shapeId="0">
      <text>
        <t>Lower bound of the 95% CI.</t>
      </text>
    </comment>
    <comment ref="L1" authorId="0" shapeId="0">
      <text>
        <t>Upper bound of the 95% CI.</t>
      </text>
    </comment>
    <comment ref="M1" authorId="0" shapeId="0">
      <text>
        <t>e.g. DOAC.</t>
      </text>
    </comment>
    <comment ref="N1" authorId="0" shapeId="0">
      <text>
        <t>Number of events in Arm 1.</t>
      </text>
    </comment>
    <comment ref="O1" authorId="0" shapeId="0">
      <text>
        <t>Number of patients in Arm 1 (in this subgroup/stratum).</t>
      </text>
    </comment>
    <comment ref="P1" authorId="0" shapeId="0">
      <text>
        <t>e.g. VKA.</t>
      </text>
    </comment>
    <comment ref="Q1" authorId="0" shapeId="0">
      <text>
        <t>Number of events in Arm 2.</t>
      </text>
    </comment>
    <comment ref="R1" authorId="0" shapeId="0">
      <text>
        <t>Number of patients in Arm 2 (in this subgroup/stratum).</t>
      </text>
    </comment>
    <comment ref="S1" authorId="0" shapeId="0">
      <text>
        <t>Follow-up duration/description.</t>
      </text>
    </comment>
    <comment ref="T1" authorId="0" shapeId="0">
      <text>
        <t>RoB 2 / ROBINS-I / Not yet assessed.</t>
      </text>
    </comment>
    <comment ref="U1" authorId="0" shapeId="0">
      <text>
        <t>Low / Some concerns / High (RoB 2) or Low / Moderate / Serious / Critical (ROBINS-I).</t>
      </text>
    </comment>
    <comment ref="V1" authorId="0" shapeId="0">
      <text>
        <t>Author, title, journal, year.</t>
      </text>
    </comment>
    <comment ref="W1" authorId="0" shapeId="0">
      <text>
        <t>Anything ambiguous — especially how Population_subgroup and Cancer_status_stratum were determined.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1"/>
  <sheetViews>
    <sheetView showGridLines="0" workbookViewId="0">
      <selection activeCell="A1" sqref="A1"/>
    </sheetView>
  </sheetViews>
  <sheetFormatPr baseColWidth="8" defaultRowHeight="15"/>
  <cols>
    <col width="100" customWidth="1" min="1" max="1"/>
  </cols>
  <sheetData>
    <row r="1">
      <c r="A1" s="1" t="inlineStr">
        <is>
          <t>APS + Cancer Anticoagulation — Literature Extraction Tracker</t>
        </is>
      </c>
    </row>
    <row r="2" ht="14" customHeight="1">
      <c r="A2" s="2" t="inlineStr"/>
    </row>
    <row r="3" ht="16" customHeight="1">
      <c r="A3" s="3" t="inlineStr">
        <is>
          <t>PURPOSE</t>
        </is>
      </c>
    </row>
    <row r="4" ht="30" customHeight="1">
      <c r="A4" s="2" t="inlineStr">
        <is>
          <t>Log every article you (or I) find — RCTs, cohorts, registries, case series, individual case reports. The 'Dashboard' tab recalculates automatically as rows are added, so at any point we can see, with real numbers, whether a systematic review with meta-analysis is defensible, or whether only a descriptive/narrative synthesis is honest.</t>
        </is>
      </c>
    </row>
    <row r="5" ht="14" customHeight="1">
      <c r="A5" s="2" t="inlineStr"/>
    </row>
    <row r="6" ht="16" customHeight="1">
      <c r="A6" s="3" t="inlineStr">
        <is>
          <t>TWO DATA TABS FOR TWO DIFFERENT KINDS OF SOURCE</t>
        </is>
      </c>
    </row>
    <row r="7" ht="30" customHeight="1">
      <c r="A7" s="2" t="inlineStr">
        <is>
          <t>'Data' is PATIENT-LEVEL — one row per patient — and is what case reports and case series feed. 'Study_Effects' is STUDY-LEVEL — one row per effect estimate (one outcome, one comparison, one subgroup) — and is what RCTs, cohorts, and registries feed, since a genuine pooled analysis (manuscript Section 2.7) needs a hazard/risk ratio with its CI and event counts, not a patient tally. A single comparative article can contribute to BOTH tabs if it also describes an individual patient in enough detail (rare, but it happens with small trial subgroups).</t>
        </is>
      </c>
    </row>
    <row r="8" ht="14" customHeight="1">
      <c r="A8" s="2" t="inlineStr"/>
    </row>
    <row r="9" ht="16" customHeight="1">
      <c r="A9" s="3" t="inlineStr">
        <is>
          <t>HOW TO USE</t>
        </is>
      </c>
    </row>
    <row r="10" ht="30" customHeight="1">
      <c r="A10" s="2" t="inlineStr">
        <is>
          <t>1. For each article, create one row per patient described (a case report = 1 row; a case series or cohort of N patients = N rows, sharing the same Study_ID).</t>
        </is>
      </c>
    </row>
    <row r="11" ht="30" customHeight="1">
      <c r="A11" s="2" t="inlineStr">
        <is>
          <t>2. Cells shaded YELLOW on the 'Data' and 'Study_Effects' tabs are the ones to fill in. Use the dropdown lists where provided (Design, Population_group, aPL_profile, Anticoag_strategy, Reports_cancer_status, Cancer_status_stratum, and all Yes/No/NA columns) — typing free text into those columns breaks the automatic counts on the Dashboard.</t>
        </is>
      </c>
    </row>
    <row r="12" ht="30" customHeight="1">
      <c r="A12" s="2" t="inlineStr">
        <is>
          <t>3. The orange rows on 'Data' (rows 2-4) and 'Study_Effects' (row 2) are WORKED EXAMPLES (Is_Example = Y). They are excluded from every Dashboard count automatically. Leave them as a formatting reference, or delete them once you're comfortable with the layout — either is fine.</t>
        </is>
      </c>
    </row>
    <row r="13" ht="30" customHeight="1">
      <c r="A13" s="2" t="inlineStr">
        <is>
          <t>4. The single most important column is 'Population_group' — this is the A / B / C distinction from the manuscript (Section 1.4): A = simple/transient aPL positivity in an oncology patient, B = clinically defined APS + cancer, C = high-risk or triple-positive APS + cancer. Everything the Dashboard tells you about feasibility hinges on getting this column right for each patient, so when an article is ambiguous, use the Notes column to say why and flag it for a second look.</t>
        </is>
      </c>
    </row>
    <row r="14" ht="30" customHeight="1">
      <c r="A14" s="2" t="inlineStr">
        <is>
          <t>5. Send me the updated file at any point (or keep adding to it here) and I will re-check the numbers, sanity-check the Population_group assignments against what the paper actually reports, and give you an updated verdict on review type and meta-analysis feasibility.</t>
        </is>
      </c>
    </row>
    <row r="15" ht="14" customHeight="1">
      <c r="A15" s="2" t="inlineStr"/>
    </row>
    <row r="16" ht="16" customHeight="1">
      <c r="A16" s="3" t="inlineStr">
        <is>
          <t>WHAT THE DASHBOARD CAN AND CANNOT TELL YOU</t>
        </is>
      </c>
    </row>
    <row r="17" ht="30" customHeight="1">
      <c r="A17" s="2" t="inlineStr">
        <is>
          <t>The thresholds on the Dashboard tab are rule-of-thumb gates, not statistical guarantees. Clearing them means a pooled analysis becomes worth attempting in principle; it does NOT by itself mean pooling is valid — that still requires the populations, exposures, and outcomes across studies to be clinically comparable, which only a full read of each source (not just the count) can confirm. In particular: case reports and case series have no denominator and no comparator arm, so accumulating many of them supports at most a DESCRIPTIVE pooled proportion (e.g. 'x/y reported patients on a VKA had a recurrence') presented with an explicit publication-bias caveat — it does not support a comparative effect estimate (e.g. a pooled risk ratio of DOAC vs VKA) unless genuine comparative studies (cohorts, registries, RCTs) with both an exposed and a reference group are identified.</t>
        </is>
      </c>
    </row>
    <row r="19">
      <c r="A19" s="4" t="inlineStr">
        <is>
          <t>Colour key</t>
        </is>
      </c>
    </row>
    <row r="20">
      <c r="A20" s="5" t="inlineStr">
        <is>
          <t>Yellow fill — Cell(s) to fill in on the Data tab</t>
        </is>
      </c>
    </row>
    <row r="21">
      <c r="A21" s="6" t="inlineStr">
        <is>
          <t>Orange fill — Worked example row — excluded from all Dashboard counts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000"/>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34"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34" customWidth="1" min="24" max="24"/>
    <col width="20" customWidth="1" min="25" max="25"/>
    <col width="20" customWidth="1" min="26" max="26"/>
  </cols>
  <sheetData>
    <row r="1" ht="30" customHeight="1">
      <c r="A1" s="7" t="inlineStr">
        <is>
          <t>Is_Example</t>
        </is>
      </c>
      <c r="B1" s="7" t="inlineStr">
        <is>
          <t>Study_ID</t>
        </is>
      </c>
      <c r="C1" s="7" t="inlineStr">
        <is>
          <t>Patient_ID</t>
        </is>
      </c>
      <c r="D1" s="7" t="inlineStr">
        <is>
          <t>Design</t>
        </is>
      </c>
      <c r="E1" s="7" t="inlineStr">
        <is>
          <t>Year</t>
        </is>
      </c>
      <c r="F1" s="7" t="inlineStr">
        <is>
          <t>Country</t>
        </is>
      </c>
      <c r="G1" s="7" t="inlineStr">
        <is>
          <t>Age</t>
        </is>
      </c>
      <c r="H1" s="7" t="inlineStr">
        <is>
          <t>Sex</t>
        </is>
      </c>
      <c r="I1" s="7" t="inlineStr">
        <is>
          <t>APS_classification_criteria</t>
        </is>
      </c>
      <c r="J1" s="7" t="inlineStr">
        <is>
          <t>aPL_profile</t>
        </is>
      </c>
      <c r="K1" s="7" t="inlineStr">
        <is>
          <t>Population_group</t>
        </is>
      </c>
      <c r="L1" s="7" t="inlineStr">
        <is>
          <t>Malignancy_type</t>
        </is>
      </c>
      <c r="M1" s="7" t="inlineStr">
        <is>
          <t>Malignancy_active_treatment</t>
        </is>
      </c>
      <c r="N1" s="7" t="inlineStr">
        <is>
          <t>Timing_APS_vs_Cancer</t>
        </is>
      </c>
      <c r="O1" s="7" t="inlineStr">
        <is>
          <t>Index_event_type</t>
        </is>
      </c>
      <c r="P1" s="7" t="inlineStr">
        <is>
          <t>Index_event_site</t>
        </is>
      </c>
      <c r="Q1" s="7" t="inlineStr">
        <is>
          <t>Anticoag_strategy</t>
        </is>
      </c>
      <c r="R1" s="7" t="inlineStr">
        <is>
          <t>Switch_occurred</t>
        </is>
      </c>
      <c r="S1" s="7" t="inlineStr">
        <is>
          <t>Thrombotic_recurrence</t>
        </is>
      </c>
      <c r="T1" s="7" t="inlineStr">
        <is>
          <t>Major_bleeding</t>
        </is>
      </c>
      <c r="U1" s="7" t="inlineStr">
        <is>
          <t>CRNMB</t>
        </is>
      </c>
      <c r="V1" s="7" t="inlineStr">
        <is>
          <t>Follow_up_months</t>
        </is>
      </c>
      <c r="W1" s="7" t="inlineStr">
        <is>
          <t>Mortality</t>
        </is>
      </c>
      <c r="X1" s="7" t="inlineStr">
        <is>
          <t>Full_citation</t>
        </is>
      </c>
      <c r="Y1" s="7" t="inlineStr">
        <is>
          <t>StudyKey_ifReal (helper — do not edit)</t>
        </is>
      </c>
      <c r="Z1" s="8" t="inlineStr">
        <is>
          <t>StudyKey_ifRealC (helper — do not edit)</t>
        </is>
      </c>
    </row>
    <row r="2">
      <c r="A2" s="9" t="inlineStr">
        <is>
          <t>Y</t>
        </is>
      </c>
      <c r="B2" s="9" t="inlineStr">
        <is>
          <t>Cureus_2024_PerfectStorm</t>
        </is>
      </c>
      <c r="C2" s="9" t="inlineStr">
        <is>
          <t>1</t>
        </is>
      </c>
      <c r="D2" s="9" t="inlineStr">
        <is>
          <t>Case report</t>
        </is>
      </c>
      <c r="E2" s="9" t="n">
        <v>2024</v>
      </c>
      <c r="F2" s="9" t="inlineStr">
        <is>
          <t>USA</t>
        </is>
      </c>
      <c r="G2" s="9" t="n">
        <v>51</v>
      </c>
      <c r="H2" s="9" t="inlineStr">
        <is>
          <t>M</t>
        </is>
      </c>
      <c r="I2" s="9" t="inlineStr">
        <is>
          <t>Not stated</t>
        </is>
      </c>
      <c r="J2" s="9" t="inlineStr">
        <is>
          <t>Not specified</t>
        </is>
      </c>
      <c r="K2" s="9" t="inlineStr">
        <is>
          <t>B</t>
        </is>
      </c>
      <c r="L2" s="9" t="inlineStr">
        <is>
          <t>Duodenal cancer (history of)</t>
        </is>
      </c>
      <c r="M2" s="9" t="inlineStr">
        <is>
          <t>None active</t>
        </is>
      </c>
      <c r="N2" s="9" t="inlineStr">
        <is>
          <t>After cancer</t>
        </is>
      </c>
      <c r="O2" s="9" t="inlineStr">
        <is>
          <t>Both</t>
        </is>
      </c>
      <c r="P2" s="9" t="inlineStr">
        <is>
          <t>Ischaemic stroke, ICH, PE</t>
        </is>
      </c>
      <c r="Q2" s="9" t="inlineStr">
        <is>
          <t>LMWH</t>
        </is>
      </c>
      <c r="R2" s="9" t="inlineStr">
        <is>
          <t>Y</t>
        </is>
      </c>
      <c r="S2" s="9" t="inlineStr">
        <is>
          <t>N</t>
        </is>
      </c>
      <c r="T2" s="9" t="inlineStr">
        <is>
          <t>N</t>
        </is>
      </c>
      <c r="U2" s="9" t="inlineStr">
        <is>
          <t>N</t>
        </is>
      </c>
      <c r="V2" s="9" t="n">
        <v>3</v>
      </c>
      <c r="W2" s="9" t="inlineStr">
        <is>
          <t>N</t>
        </is>
      </c>
      <c r="X2" s="9" t="inlineStr">
        <is>
          <t>Cancer History, Antiphospholipid Syndrome, and Lupus Anticoagulant: A Perfect Storm for Thrombosis. Cureus. 2024/2025.</t>
        </is>
      </c>
      <c r="Y2" s="9">
        <f>IF(AND(A2&lt;&gt;"Y",B2&lt;&gt;""),B2,"")</f>
        <v/>
      </c>
      <c r="Z2">
        <f>IF(AND(A2&lt;&gt;"Y",B2&lt;&gt;"",K2="C"),B2,"")</f>
        <v/>
      </c>
    </row>
    <row r="3">
      <c r="A3" s="9" t="inlineStr">
        <is>
          <t>Y</t>
        </is>
      </c>
      <c r="B3" s="9" t="inlineStr">
        <is>
          <t>Example_TripleC_Illustrative</t>
        </is>
      </c>
      <c r="C3" s="9" t="inlineStr">
        <is>
          <t>1</t>
        </is>
      </c>
      <c r="D3" s="9" t="inlineStr">
        <is>
          <t>Case report</t>
        </is>
      </c>
      <c r="E3" s="9" t="n">
        <v>2020</v>
      </c>
      <c r="F3" s="9" t="inlineStr">
        <is>
          <t>-</t>
        </is>
      </c>
      <c r="G3" s="9" t="n">
        <v>45</v>
      </c>
      <c r="H3" s="9" t="inlineStr">
        <is>
          <t>F</t>
        </is>
      </c>
      <c r="I3" s="9" t="inlineStr">
        <is>
          <t>Sydney 2006</t>
        </is>
      </c>
      <c r="J3" s="9" t="inlineStr">
        <is>
          <t>Triple</t>
        </is>
      </c>
      <c r="K3" s="9" t="inlineStr">
        <is>
          <t>C</t>
        </is>
      </c>
      <c r="L3" s="9" t="inlineStr">
        <is>
          <t>Breast cancer</t>
        </is>
      </c>
      <c r="M3" s="9" t="inlineStr">
        <is>
          <t>Chemotherapy</t>
        </is>
      </c>
      <c r="N3" s="9" t="inlineStr">
        <is>
          <t>Before cancer</t>
        </is>
      </c>
      <c r="O3" s="9" t="inlineStr">
        <is>
          <t>Venous</t>
        </is>
      </c>
      <c r="P3" s="9" t="inlineStr">
        <is>
          <t>Recurrent DVT</t>
        </is>
      </c>
      <c r="Q3" s="9" t="inlineStr">
        <is>
          <t>VKA</t>
        </is>
      </c>
      <c r="R3" s="9" t="inlineStr">
        <is>
          <t>N</t>
        </is>
      </c>
      <c r="S3" s="9" t="inlineStr">
        <is>
          <t>N</t>
        </is>
      </c>
      <c r="T3" s="9" t="inlineStr">
        <is>
          <t>N</t>
        </is>
      </c>
      <c r="U3" s="9" t="inlineStr">
        <is>
          <t>N</t>
        </is>
      </c>
      <c r="V3" s="9" t="n">
        <v>6</v>
      </c>
      <c r="W3" s="9" t="inlineStr">
        <is>
          <t>N</t>
        </is>
      </c>
      <c r="X3" s="9" t="inlineStr">
        <is>
          <t>PLACEHOLDER — replace with a real triple-positive+cancer case once found; format only.</t>
        </is>
      </c>
      <c r="Y3" s="9">
        <f>IF(AND(A3&lt;&gt;"Y",B3&lt;&gt;""),B3,"")</f>
        <v/>
      </c>
      <c r="Z3">
        <f>IF(AND(A3&lt;&gt;"Y",B3&lt;&gt;"",K3="C"),B3,"")</f>
        <v/>
      </c>
    </row>
    <row r="4">
      <c r="A4" s="9" t="inlineStr">
        <is>
          <t>Y</t>
        </is>
      </c>
      <c r="B4" s="9" t="inlineStr">
        <is>
          <t>Example_TripleC_Illustrative</t>
        </is>
      </c>
      <c r="C4" s="9" t="inlineStr">
        <is>
          <t>2</t>
        </is>
      </c>
      <c r="D4" s="9" t="inlineStr">
        <is>
          <t>Case series</t>
        </is>
      </c>
      <c r="E4" s="9" t="n">
        <v>2020</v>
      </c>
      <c r="F4" s="9" t="inlineStr">
        <is>
          <t>-</t>
        </is>
      </c>
      <c r="G4" s="9" t="n">
        <v>60</v>
      </c>
      <c r="H4" s="9" t="inlineStr">
        <is>
          <t>M</t>
        </is>
      </c>
      <c r="I4" s="9" t="inlineStr">
        <is>
          <t>ACR-EULAR 2023</t>
        </is>
      </c>
      <c r="J4" s="9" t="inlineStr">
        <is>
          <t>Triple</t>
        </is>
      </c>
      <c r="K4" s="9" t="inlineStr">
        <is>
          <t>C</t>
        </is>
      </c>
      <c r="L4" s="9" t="inlineStr">
        <is>
          <t>Lung cancer</t>
        </is>
      </c>
      <c r="M4" s="9" t="inlineStr">
        <is>
          <t>Radiotherapy</t>
        </is>
      </c>
      <c r="N4" s="9" t="inlineStr">
        <is>
          <t>Concurrently</t>
        </is>
      </c>
      <c r="O4" s="9" t="inlineStr">
        <is>
          <t>Arterial</t>
        </is>
      </c>
      <c r="P4" s="9" t="inlineStr">
        <is>
          <t>Ischaemic stroke</t>
        </is>
      </c>
      <c r="Q4" s="9" t="inlineStr">
        <is>
          <t>DOAC</t>
        </is>
      </c>
      <c r="R4" s="9" t="inlineStr">
        <is>
          <t>Y</t>
        </is>
      </c>
      <c r="S4" s="9" t="inlineStr">
        <is>
          <t>Y</t>
        </is>
      </c>
      <c r="T4" s="9" t="inlineStr">
        <is>
          <t>N</t>
        </is>
      </c>
      <c r="U4" s="9" t="inlineStr">
        <is>
          <t>N</t>
        </is>
      </c>
      <c r="V4" s="9" t="n">
        <v>4</v>
      </c>
      <c r="W4" s="9" t="inlineStr">
        <is>
          <t>Unclear</t>
        </is>
      </c>
      <c r="X4" s="9" t="inlineStr">
        <is>
          <t>PLACEHOLDER — replace with a real triple-positive+cancer case once found; format only.</t>
        </is>
      </c>
      <c r="Y4" s="9">
        <f>IF(AND(A4&lt;&gt;"Y",B4&lt;&gt;""),B4,"")</f>
        <v/>
      </c>
      <c r="Z4">
        <f>IF(AND(A4&lt;&gt;"Y",B4&lt;&gt;"",K4="C"),B4,"")</f>
        <v/>
      </c>
    </row>
    <row r="5">
      <c r="A5" s="10" t="n"/>
      <c r="B5" s="10" t="n"/>
      <c r="C5" s="10" t="n"/>
      <c r="D5" s="10" t="n"/>
      <c r="E5" s="10" t="n"/>
      <c r="F5" s="10" t="n"/>
      <c r="G5" s="10" t="n"/>
      <c r="H5" s="10" t="n"/>
      <c r="I5" s="10" t="n"/>
      <c r="J5" s="10" t="n"/>
      <c r="K5" s="10" t="n"/>
      <c r="L5" s="10" t="n"/>
      <c r="M5" s="10" t="n"/>
      <c r="N5" s="10" t="n"/>
      <c r="O5" s="10" t="n"/>
      <c r="P5" s="10" t="n"/>
      <c r="Q5" s="10" t="n"/>
      <c r="R5" s="10" t="n"/>
      <c r="S5" s="10" t="n"/>
      <c r="T5" s="10" t="n"/>
      <c r="U5" s="10" t="n"/>
      <c r="V5" s="10" t="n"/>
      <c r="W5" s="10" t="n"/>
      <c r="X5" s="10" t="n"/>
      <c r="Y5" s="10">
        <f>IF(AND(A5&lt;&gt;"Y",B5&lt;&gt;""),B5,"")</f>
        <v/>
      </c>
      <c r="Z5">
        <f>IF(AND(A5&lt;&gt;"Y",B5&lt;&gt;"",K5="C"),B5,"")</f>
        <v/>
      </c>
    </row>
    <row r="6">
      <c r="A6" s="10" t="n"/>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s="10" t="n"/>
      <c r="Y6" s="10">
        <f>IF(AND(A6&lt;&gt;"Y",B6&lt;&gt;""),B6,"")</f>
        <v/>
      </c>
      <c r="Z6">
        <f>IF(AND(A6&lt;&gt;"Y",B6&lt;&gt;"",K6="C"),B6,"")</f>
        <v/>
      </c>
    </row>
    <row r="7">
      <c r="A7" s="10" t="n"/>
      <c r="B7" s="10" t="n"/>
      <c r="C7" s="10" t="n"/>
      <c r="D7" s="10" t="n"/>
      <c r="E7" s="10" t="n"/>
      <c r="F7" s="10" t="n"/>
      <c r="G7" s="10" t="n"/>
      <c r="H7" s="10" t="n"/>
      <c r="I7" s="10" t="n"/>
      <c r="J7" s="10" t="n"/>
      <c r="K7" s="10" t="n"/>
      <c r="L7" s="10" t="n"/>
      <c r="M7" s="10" t="n"/>
      <c r="N7" s="10" t="n"/>
      <c r="O7" s="10" t="n"/>
      <c r="P7" s="10" t="n"/>
      <c r="Q7" s="10" t="n"/>
      <c r="R7" s="10" t="n"/>
      <c r="S7" s="10" t="n"/>
      <c r="T7" s="10" t="n"/>
      <c r="U7" s="10" t="n"/>
      <c r="V7" s="10" t="n"/>
      <c r="W7" s="10" t="n"/>
      <c r="X7" s="10" t="n"/>
      <c r="Y7" s="10">
        <f>IF(AND(A7&lt;&gt;"Y",B7&lt;&gt;""),B7,"")</f>
        <v/>
      </c>
      <c r="Z7">
        <f>IF(AND(A7&lt;&gt;"Y",B7&lt;&gt;"",K7="C"),B7,"")</f>
        <v/>
      </c>
    </row>
    <row r="8">
      <c r="A8" s="10" t="n"/>
      <c r="B8" s="10" t="n"/>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s="10" t="n"/>
      <c r="Y8" s="10">
        <f>IF(AND(A8&lt;&gt;"Y",B8&lt;&gt;""),B8,"")</f>
        <v/>
      </c>
      <c r="Z8">
        <f>IF(AND(A8&lt;&gt;"Y",B8&lt;&gt;"",K8="C"),B8,"")</f>
        <v/>
      </c>
    </row>
    <row r="9">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s="10" t="n"/>
      <c r="Y9" s="10">
        <f>IF(AND(A9&lt;&gt;"Y",B9&lt;&gt;""),B9,"")</f>
        <v/>
      </c>
      <c r="Z9">
        <f>IF(AND(A9&lt;&gt;"Y",B9&lt;&gt;"",K9="C"),B9,"")</f>
        <v/>
      </c>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f>IF(AND(A10&lt;&gt;"Y",B10&lt;&gt;""),B10,"")</f>
        <v/>
      </c>
      <c r="Z10">
        <f>IF(AND(A10&lt;&gt;"Y",B10&lt;&gt;"",K10="C"),B10,"")</f>
        <v/>
      </c>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f>IF(AND(A11&lt;&gt;"Y",B11&lt;&gt;""),B11,"")</f>
        <v/>
      </c>
      <c r="Z11">
        <f>IF(AND(A11&lt;&gt;"Y",B11&lt;&gt;"",K11="C"),B11,"")</f>
        <v/>
      </c>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f>IF(AND(A12&lt;&gt;"Y",B12&lt;&gt;""),B12,"")</f>
        <v/>
      </c>
      <c r="Z12">
        <f>IF(AND(A12&lt;&gt;"Y",B12&lt;&gt;"",K12="C"),B12,"")</f>
        <v/>
      </c>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f>IF(AND(A13&lt;&gt;"Y",B13&lt;&gt;""),B13,"")</f>
        <v/>
      </c>
      <c r="Z13">
        <f>IF(AND(A13&lt;&gt;"Y",B13&lt;&gt;"",K13="C"),B13,"")</f>
        <v/>
      </c>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f>IF(AND(A14&lt;&gt;"Y",B14&lt;&gt;""),B14,"")</f>
        <v/>
      </c>
      <c r="Z14">
        <f>IF(AND(A14&lt;&gt;"Y",B14&lt;&gt;"",K14="C"),B14,"")</f>
        <v/>
      </c>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f>IF(AND(A15&lt;&gt;"Y",B15&lt;&gt;""),B15,"")</f>
        <v/>
      </c>
      <c r="Z15">
        <f>IF(AND(A15&lt;&gt;"Y",B15&lt;&gt;"",K15="C"),B15,"")</f>
        <v/>
      </c>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f>IF(AND(A16&lt;&gt;"Y",B16&lt;&gt;""),B16,"")</f>
        <v/>
      </c>
      <c r="Z16">
        <f>IF(AND(A16&lt;&gt;"Y",B16&lt;&gt;"",K16="C"),B16,"")</f>
        <v/>
      </c>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f>IF(AND(A17&lt;&gt;"Y",B17&lt;&gt;""),B17,"")</f>
        <v/>
      </c>
      <c r="Z17">
        <f>IF(AND(A17&lt;&gt;"Y",B17&lt;&gt;"",K17="C"),B17,"")</f>
        <v/>
      </c>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f>IF(AND(A18&lt;&gt;"Y",B18&lt;&gt;""),B18,"")</f>
        <v/>
      </c>
      <c r="Z18">
        <f>IF(AND(A18&lt;&gt;"Y",B18&lt;&gt;"",K18="C"),B18,"")</f>
        <v/>
      </c>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f>IF(AND(A19&lt;&gt;"Y",B19&lt;&gt;""),B19,"")</f>
        <v/>
      </c>
      <c r="Z19">
        <f>IF(AND(A19&lt;&gt;"Y",B19&lt;&gt;"",K19="C"),B19,"")</f>
        <v/>
      </c>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f>IF(AND(A20&lt;&gt;"Y",B20&lt;&gt;""),B20,"")</f>
        <v/>
      </c>
      <c r="Z20">
        <f>IF(AND(A20&lt;&gt;"Y",B20&lt;&gt;"",K20="C"),B20,"")</f>
        <v/>
      </c>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f>IF(AND(A21&lt;&gt;"Y",B21&lt;&gt;""),B21,"")</f>
        <v/>
      </c>
      <c r="Z21">
        <f>IF(AND(A21&lt;&gt;"Y",B21&lt;&gt;"",K21="C"),B21,"")</f>
        <v/>
      </c>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f>IF(AND(A22&lt;&gt;"Y",B22&lt;&gt;""),B22,"")</f>
        <v/>
      </c>
      <c r="Z22">
        <f>IF(AND(A22&lt;&gt;"Y",B22&lt;&gt;"",K22="C"),B22,"")</f>
        <v/>
      </c>
    </row>
    <row r="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f>IF(AND(A23&lt;&gt;"Y",B23&lt;&gt;""),B23,"")</f>
        <v/>
      </c>
      <c r="Z23">
        <f>IF(AND(A23&lt;&gt;"Y",B23&lt;&gt;"",K23="C"),B23,"")</f>
        <v/>
      </c>
    </row>
    <row r="24">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f>IF(AND(A24&lt;&gt;"Y",B24&lt;&gt;""),B24,"")</f>
        <v/>
      </c>
      <c r="Z24">
        <f>IF(AND(A24&lt;&gt;"Y",B24&lt;&gt;"",K24="C"),B24,"")</f>
        <v/>
      </c>
    </row>
    <row r="25">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f>IF(AND(A25&lt;&gt;"Y",B25&lt;&gt;""),B25,"")</f>
        <v/>
      </c>
      <c r="Z25">
        <f>IF(AND(A25&lt;&gt;"Y",B25&lt;&gt;"",K25="C"),B25,"")</f>
        <v/>
      </c>
    </row>
    <row r="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f>IF(AND(A26&lt;&gt;"Y",B26&lt;&gt;""),B26,"")</f>
        <v/>
      </c>
      <c r="Z26">
        <f>IF(AND(A26&lt;&gt;"Y",B26&lt;&gt;"",K26="C"),B26,"")</f>
        <v/>
      </c>
    </row>
    <row r="27">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f>IF(AND(A27&lt;&gt;"Y",B27&lt;&gt;""),B27,"")</f>
        <v/>
      </c>
      <c r="Z27">
        <f>IF(AND(A27&lt;&gt;"Y",B27&lt;&gt;"",K27="C"),B27,"")</f>
        <v/>
      </c>
    </row>
    <row r="28">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f>IF(AND(A28&lt;&gt;"Y",B28&lt;&gt;""),B28,"")</f>
        <v/>
      </c>
      <c r="Z28">
        <f>IF(AND(A28&lt;&gt;"Y",B28&lt;&gt;"",K28="C"),B28,"")</f>
        <v/>
      </c>
    </row>
    <row r="29">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f>IF(AND(A29&lt;&gt;"Y",B29&lt;&gt;""),B29,"")</f>
        <v/>
      </c>
      <c r="Z29">
        <f>IF(AND(A29&lt;&gt;"Y",B29&lt;&gt;"",K29="C"),B29,"")</f>
        <v/>
      </c>
    </row>
    <row r="30">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f>IF(AND(A30&lt;&gt;"Y",B30&lt;&gt;""),B30,"")</f>
        <v/>
      </c>
      <c r="Z30">
        <f>IF(AND(A30&lt;&gt;"Y",B30&lt;&gt;"",K30="C"),B30,"")</f>
        <v/>
      </c>
    </row>
    <row r="3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s="10" t="n"/>
      <c r="Y31" s="10">
        <f>IF(AND(A31&lt;&gt;"Y",B31&lt;&gt;""),B31,"")</f>
        <v/>
      </c>
      <c r="Z31">
        <f>IF(AND(A31&lt;&gt;"Y",B31&lt;&gt;"",K31="C"),B31,"")</f>
        <v/>
      </c>
    </row>
    <row r="32">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s="10" t="n"/>
      <c r="Y32" s="10">
        <f>IF(AND(A32&lt;&gt;"Y",B32&lt;&gt;""),B32,"")</f>
        <v/>
      </c>
      <c r="Z32">
        <f>IF(AND(A32&lt;&gt;"Y",B32&lt;&gt;"",K32="C"),B32,"")</f>
        <v/>
      </c>
    </row>
    <row r="3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f>IF(AND(A33&lt;&gt;"Y",B33&lt;&gt;""),B33,"")</f>
        <v/>
      </c>
      <c r="Z33">
        <f>IF(AND(A33&lt;&gt;"Y",B33&lt;&gt;"",K33="C"),B33,"")</f>
        <v/>
      </c>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f>IF(AND(A34&lt;&gt;"Y",B34&lt;&gt;""),B34,"")</f>
        <v/>
      </c>
      <c r="Z34">
        <f>IF(AND(A34&lt;&gt;"Y",B34&lt;&gt;"",K34="C"),B34,"")</f>
        <v/>
      </c>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f>IF(AND(A35&lt;&gt;"Y",B35&lt;&gt;""),B35,"")</f>
        <v/>
      </c>
      <c r="Z35">
        <f>IF(AND(A35&lt;&gt;"Y",B35&lt;&gt;"",K35="C"),B35,"")</f>
        <v/>
      </c>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f>IF(AND(A36&lt;&gt;"Y",B36&lt;&gt;""),B36,"")</f>
        <v/>
      </c>
      <c r="Z36">
        <f>IF(AND(A36&lt;&gt;"Y",B36&lt;&gt;"",K36="C"),B36,"")</f>
        <v/>
      </c>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s="10" t="n"/>
      <c r="Y37" s="10">
        <f>IF(AND(A37&lt;&gt;"Y",B37&lt;&gt;""),B37,"")</f>
        <v/>
      </c>
      <c r="Z37">
        <f>IF(AND(A37&lt;&gt;"Y",B37&lt;&gt;"",K37="C"),B37,"")</f>
        <v/>
      </c>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f>IF(AND(A38&lt;&gt;"Y",B38&lt;&gt;""),B38,"")</f>
        <v/>
      </c>
      <c r="Z38">
        <f>IF(AND(A38&lt;&gt;"Y",B38&lt;&gt;"",K38="C"),B38,"")</f>
        <v/>
      </c>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f>IF(AND(A39&lt;&gt;"Y",B39&lt;&gt;""),B39,"")</f>
        <v/>
      </c>
      <c r="Z39">
        <f>IF(AND(A39&lt;&gt;"Y",B39&lt;&gt;"",K39="C"),B39,"")</f>
        <v/>
      </c>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f>IF(AND(A40&lt;&gt;"Y",B40&lt;&gt;""),B40,"")</f>
        <v/>
      </c>
      <c r="Z40">
        <f>IF(AND(A40&lt;&gt;"Y",B40&lt;&gt;"",K40="C"),B40,"")</f>
        <v/>
      </c>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s="10" t="n"/>
      <c r="Y41" s="10">
        <f>IF(AND(A41&lt;&gt;"Y",B41&lt;&gt;""),B41,"")</f>
        <v/>
      </c>
      <c r="Z41">
        <f>IF(AND(A41&lt;&gt;"Y",B41&lt;&gt;"",K41="C"),B41,"")</f>
        <v/>
      </c>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f>IF(AND(A42&lt;&gt;"Y",B42&lt;&gt;""),B42,"")</f>
        <v/>
      </c>
      <c r="Z42">
        <f>IF(AND(A42&lt;&gt;"Y",B42&lt;&gt;"",K42="C"),B42,"")</f>
        <v/>
      </c>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f>IF(AND(A43&lt;&gt;"Y",B43&lt;&gt;""),B43,"")</f>
        <v/>
      </c>
      <c r="Z43">
        <f>IF(AND(A43&lt;&gt;"Y",B43&lt;&gt;"",K43="C"),B43,"")</f>
        <v/>
      </c>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f>IF(AND(A44&lt;&gt;"Y",B44&lt;&gt;""),B44,"")</f>
        <v/>
      </c>
      <c r="Z44">
        <f>IF(AND(A44&lt;&gt;"Y",B44&lt;&gt;"",K44="C"),B44,"")</f>
        <v/>
      </c>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f>IF(AND(A45&lt;&gt;"Y",B45&lt;&gt;""),B45,"")</f>
        <v/>
      </c>
      <c r="Z45">
        <f>IF(AND(A45&lt;&gt;"Y",B45&lt;&gt;"",K45="C"),B45,"")</f>
        <v/>
      </c>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s="10" t="n"/>
      <c r="Y46" s="10">
        <f>IF(AND(A46&lt;&gt;"Y",B46&lt;&gt;""),B46,"")</f>
        <v/>
      </c>
      <c r="Z46">
        <f>IF(AND(A46&lt;&gt;"Y",B46&lt;&gt;"",K46="C"),B46,"")</f>
        <v/>
      </c>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s="10" t="n"/>
      <c r="Y47" s="10">
        <f>IF(AND(A47&lt;&gt;"Y",B47&lt;&gt;""),B47,"")</f>
        <v/>
      </c>
      <c r="Z47">
        <f>IF(AND(A47&lt;&gt;"Y",B47&lt;&gt;"",K47="C"),B47,"")</f>
        <v/>
      </c>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f>IF(AND(A48&lt;&gt;"Y",B48&lt;&gt;""),B48,"")</f>
        <v/>
      </c>
      <c r="Z48">
        <f>IF(AND(A48&lt;&gt;"Y",B48&lt;&gt;"",K48="C"),B48,"")</f>
        <v/>
      </c>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f>IF(AND(A49&lt;&gt;"Y",B49&lt;&gt;""),B49,"")</f>
        <v/>
      </c>
      <c r="Z49">
        <f>IF(AND(A49&lt;&gt;"Y",B49&lt;&gt;"",K49="C"),B49,"")</f>
        <v/>
      </c>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f>IF(AND(A50&lt;&gt;"Y",B50&lt;&gt;""),B50,"")</f>
        <v/>
      </c>
      <c r="Z50">
        <f>IF(AND(A50&lt;&gt;"Y",B50&lt;&gt;"",K50="C"),B50,"")</f>
        <v/>
      </c>
    </row>
    <row r="51">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s="10" t="n"/>
      <c r="Y51" s="10">
        <f>IF(AND(A51&lt;&gt;"Y",B51&lt;&gt;""),B51,"")</f>
        <v/>
      </c>
      <c r="Z51">
        <f>IF(AND(A51&lt;&gt;"Y",B51&lt;&gt;"",K51="C"),B51,"")</f>
        <v/>
      </c>
    </row>
    <row r="52">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f>IF(AND(A52&lt;&gt;"Y",B52&lt;&gt;""),B52,"")</f>
        <v/>
      </c>
      <c r="Z52">
        <f>IF(AND(A52&lt;&gt;"Y",B52&lt;&gt;"",K52="C"),B52,"")</f>
        <v/>
      </c>
    </row>
    <row r="53">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f>IF(AND(A53&lt;&gt;"Y",B53&lt;&gt;""),B53,"")</f>
        <v/>
      </c>
      <c r="Z53">
        <f>IF(AND(A53&lt;&gt;"Y",B53&lt;&gt;"",K53="C"),B53,"")</f>
        <v/>
      </c>
    </row>
    <row r="54">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s="10" t="n"/>
      <c r="Y54" s="10">
        <f>IF(AND(A54&lt;&gt;"Y",B54&lt;&gt;""),B54,"")</f>
        <v/>
      </c>
      <c r="Z54">
        <f>IF(AND(A54&lt;&gt;"Y",B54&lt;&gt;"",K54="C"),B54,"")</f>
        <v/>
      </c>
    </row>
    <row r="55">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f>IF(AND(A55&lt;&gt;"Y",B55&lt;&gt;""),B55,"")</f>
        <v/>
      </c>
      <c r="Z55">
        <f>IF(AND(A55&lt;&gt;"Y",B55&lt;&gt;"",K55="C"),B55,"")</f>
        <v/>
      </c>
    </row>
    <row r="56">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s="10" t="n"/>
      <c r="Y56" s="10">
        <f>IF(AND(A56&lt;&gt;"Y",B56&lt;&gt;""),B56,"")</f>
        <v/>
      </c>
      <c r="Z56">
        <f>IF(AND(A56&lt;&gt;"Y",B56&lt;&gt;"",K56="C"),B56,"")</f>
        <v/>
      </c>
    </row>
    <row r="57">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f>IF(AND(A57&lt;&gt;"Y",B57&lt;&gt;""),B57,"")</f>
        <v/>
      </c>
      <c r="Z57">
        <f>IF(AND(A57&lt;&gt;"Y",B57&lt;&gt;"",K57="C"),B57,"")</f>
        <v/>
      </c>
    </row>
    <row r="58">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f>IF(AND(A58&lt;&gt;"Y",B58&lt;&gt;""),B58,"")</f>
        <v/>
      </c>
      <c r="Z58">
        <f>IF(AND(A58&lt;&gt;"Y",B58&lt;&gt;"",K58="C"),B58,"")</f>
        <v/>
      </c>
    </row>
    <row r="59">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f>IF(AND(A59&lt;&gt;"Y",B59&lt;&gt;""),B59,"")</f>
        <v/>
      </c>
      <c r="Z59">
        <f>IF(AND(A59&lt;&gt;"Y",B59&lt;&gt;"",K59="C"),B59,"")</f>
        <v/>
      </c>
    </row>
    <row r="60">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f>IF(AND(A60&lt;&gt;"Y",B60&lt;&gt;""),B60,"")</f>
        <v/>
      </c>
      <c r="Z60">
        <f>IF(AND(A60&lt;&gt;"Y",B60&lt;&gt;"",K60="C"),B60,"")</f>
        <v/>
      </c>
    </row>
    <row r="61">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f>IF(AND(A61&lt;&gt;"Y",B61&lt;&gt;""),B61,"")</f>
        <v/>
      </c>
      <c r="Z61">
        <f>IF(AND(A61&lt;&gt;"Y",B61&lt;&gt;"",K61="C"),B61,"")</f>
        <v/>
      </c>
    </row>
    <row r="62">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f>IF(AND(A62&lt;&gt;"Y",B62&lt;&gt;""),B62,"")</f>
        <v/>
      </c>
      <c r="Z62">
        <f>IF(AND(A62&lt;&gt;"Y",B62&lt;&gt;"",K62="C"),B62,"")</f>
        <v/>
      </c>
    </row>
    <row r="6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f>IF(AND(A63&lt;&gt;"Y",B63&lt;&gt;""),B63,"")</f>
        <v/>
      </c>
      <c r="Z63">
        <f>IF(AND(A63&lt;&gt;"Y",B63&lt;&gt;"",K63="C"),B63,"")</f>
        <v/>
      </c>
    </row>
    <row r="64">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f>IF(AND(A64&lt;&gt;"Y",B64&lt;&gt;""),B64,"")</f>
        <v/>
      </c>
      <c r="Z64">
        <f>IF(AND(A64&lt;&gt;"Y",B64&lt;&gt;"",K64="C"),B64,"")</f>
        <v/>
      </c>
    </row>
    <row r="65">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f>IF(AND(A65&lt;&gt;"Y",B65&lt;&gt;""),B65,"")</f>
        <v/>
      </c>
      <c r="Z65">
        <f>IF(AND(A65&lt;&gt;"Y",B65&lt;&gt;"",K65="C"),B65,"")</f>
        <v/>
      </c>
    </row>
    <row r="66">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f>IF(AND(A66&lt;&gt;"Y",B66&lt;&gt;""),B66,"")</f>
        <v/>
      </c>
      <c r="Z66">
        <f>IF(AND(A66&lt;&gt;"Y",B66&lt;&gt;"",K66="C"),B66,"")</f>
        <v/>
      </c>
    </row>
    <row r="67">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f>IF(AND(A67&lt;&gt;"Y",B67&lt;&gt;""),B67,"")</f>
        <v/>
      </c>
      <c r="Z67">
        <f>IF(AND(A67&lt;&gt;"Y",B67&lt;&gt;"",K67="C"),B67,"")</f>
        <v/>
      </c>
    </row>
    <row r="68">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f>IF(AND(A68&lt;&gt;"Y",B68&lt;&gt;""),B68,"")</f>
        <v/>
      </c>
      <c r="Z68">
        <f>IF(AND(A68&lt;&gt;"Y",B68&lt;&gt;"",K68="C"),B68,"")</f>
        <v/>
      </c>
    </row>
    <row r="69">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f>IF(AND(A69&lt;&gt;"Y",B69&lt;&gt;""),B69,"")</f>
        <v/>
      </c>
      <c r="Z69">
        <f>IF(AND(A69&lt;&gt;"Y",B69&lt;&gt;"",K69="C"),B69,"")</f>
        <v/>
      </c>
    </row>
    <row r="70">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f>IF(AND(A70&lt;&gt;"Y",B70&lt;&gt;""),B70,"")</f>
        <v/>
      </c>
      <c r="Z70">
        <f>IF(AND(A70&lt;&gt;"Y",B70&lt;&gt;"",K70="C"),B70,"")</f>
        <v/>
      </c>
    </row>
    <row r="71">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f>IF(AND(A71&lt;&gt;"Y",B71&lt;&gt;""),B71,"")</f>
        <v/>
      </c>
      <c r="Z71">
        <f>IF(AND(A71&lt;&gt;"Y",B71&lt;&gt;"",K71="C"),B71,"")</f>
        <v/>
      </c>
    </row>
    <row r="72">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f>IF(AND(A72&lt;&gt;"Y",B72&lt;&gt;""),B72,"")</f>
        <v/>
      </c>
      <c r="Z72">
        <f>IF(AND(A72&lt;&gt;"Y",B72&lt;&gt;"",K72="C"),B72,"")</f>
        <v/>
      </c>
    </row>
    <row r="7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f>IF(AND(A73&lt;&gt;"Y",B73&lt;&gt;""),B73,"")</f>
        <v/>
      </c>
      <c r="Z73">
        <f>IF(AND(A73&lt;&gt;"Y",B73&lt;&gt;"",K73="C"),B73,"")</f>
        <v/>
      </c>
    </row>
    <row r="74">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f>IF(AND(A74&lt;&gt;"Y",B74&lt;&gt;""),B74,"")</f>
        <v/>
      </c>
      <c r="Z74">
        <f>IF(AND(A74&lt;&gt;"Y",B74&lt;&gt;"",K74="C"),B74,"")</f>
        <v/>
      </c>
    </row>
    <row r="75">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f>IF(AND(A75&lt;&gt;"Y",B75&lt;&gt;""),B75,"")</f>
        <v/>
      </c>
      <c r="Z75">
        <f>IF(AND(A75&lt;&gt;"Y",B75&lt;&gt;"",K75="C"),B75,"")</f>
        <v/>
      </c>
    </row>
    <row r="76">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f>IF(AND(A76&lt;&gt;"Y",B76&lt;&gt;""),B76,"")</f>
        <v/>
      </c>
      <c r="Z76">
        <f>IF(AND(A76&lt;&gt;"Y",B76&lt;&gt;"",K76="C"),B76,"")</f>
        <v/>
      </c>
    </row>
    <row r="77">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f>IF(AND(A77&lt;&gt;"Y",B77&lt;&gt;""),B77,"")</f>
        <v/>
      </c>
      <c r="Z77">
        <f>IF(AND(A77&lt;&gt;"Y",B77&lt;&gt;"",K77="C"),B77,"")</f>
        <v/>
      </c>
    </row>
    <row r="78">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f>IF(AND(A78&lt;&gt;"Y",B78&lt;&gt;""),B78,"")</f>
        <v/>
      </c>
      <c r="Z78">
        <f>IF(AND(A78&lt;&gt;"Y",B78&lt;&gt;"",K78="C"),B78,"")</f>
        <v/>
      </c>
    </row>
    <row r="79">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f>IF(AND(A79&lt;&gt;"Y",B79&lt;&gt;""),B79,"")</f>
        <v/>
      </c>
      <c r="Z79">
        <f>IF(AND(A79&lt;&gt;"Y",B79&lt;&gt;"",K79="C"),B79,"")</f>
        <v/>
      </c>
    </row>
    <row r="80">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f>IF(AND(A80&lt;&gt;"Y",B80&lt;&gt;""),B80,"")</f>
        <v/>
      </c>
      <c r="Z80">
        <f>IF(AND(A80&lt;&gt;"Y",B80&lt;&gt;"",K80="C"),B80,"")</f>
        <v/>
      </c>
    </row>
    <row r="81">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f>IF(AND(A81&lt;&gt;"Y",B81&lt;&gt;""),B81,"")</f>
        <v/>
      </c>
      <c r="Z81">
        <f>IF(AND(A81&lt;&gt;"Y",B81&lt;&gt;"",K81="C"),B81,"")</f>
        <v/>
      </c>
    </row>
    <row r="82">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f>IF(AND(A82&lt;&gt;"Y",B82&lt;&gt;""),B82,"")</f>
        <v/>
      </c>
      <c r="Z82">
        <f>IF(AND(A82&lt;&gt;"Y",B82&lt;&gt;"",K82="C"),B82,"")</f>
        <v/>
      </c>
    </row>
    <row r="8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f>IF(AND(A83&lt;&gt;"Y",B83&lt;&gt;""),B83,"")</f>
        <v/>
      </c>
      <c r="Z83">
        <f>IF(AND(A83&lt;&gt;"Y",B83&lt;&gt;"",K83="C"),B83,"")</f>
        <v/>
      </c>
    </row>
    <row r="84">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f>IF(AND(A84&lt;&gt;"Y",B84&lt;&gt;""),B84,"")</f>
        <v/>
      </c>
      <c r="Z84">
        <f>IF(AND(A84&lt;&gt;"Y",B84&lt;&gt;"",K84="C"),B84,"")</f>
        <v/>
      </c>
    </row>
    <row r="85">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f>IF(AND(A85&lt;&gt;"Y",B85&lt;&gt;""),B85,"")</f>
        <v/>
      </c>
      <c r="Z85">
        <f>IF(AND(A85&lt;&gt;"Y",B85&lt;&gt;"",K85="C"),B85,"")</f>
        <v/>
      </c>
    </row>
    <row r="86">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f>IF(AND(A86&lt;&gt;"Y",B86&lt;&gt;""),B86,"")</f>
        <v/>
      </c>
      <c r="Z86">
        <f>IF(AND(A86&lt;&gt;"Y",B86&lt;&gt;"",K86="C"),B86,"")</f>
        <v/>
      </c>
    </row>
    <row r="87">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f>IF(AND(A87&lt;&gt;"Y",B87&lt;&gt;""),B87,"")</f>
        <v/>
      </c>
      <c r="Z87">
        <f>IF(AND(A87&lt;&gt;"Y",B87&lt;&gt;"",K87="C"),B87,"")</f>
        <v/>
      </c>
    </row>
    <row r="88">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f>IF(AND(A88&lt;&gt;"Y",B88&lt;&gt;""),B88,"")</f>
        <v/>
      </c>
      <c r="Z88">
        <f>IF(AND(A88&lt;&gt;"Y",B88&lt;&gt;"",K88="C"),B88,"")</f>
        <v/>
      </c>
    </row>
    <row r="89">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f>IF(AND(A89&lt;&gt;"Y",B89&lt;&gt;""),B89,"")</f>
        <v/>
      </c>
      <c r="Z89">
        <f>IF(AND(A89&lt;&gt;"Y",B89&lt;&gt;"",K89="C"),B89,"")</f>
        <v/>
      </c>
    </row>
    <row r="90">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f>IF(AND(A90&lt;&gt;"Y",B90&lt;&gt;""),B90,"")</f>
        <v/>
      </c>
      <c r="Z90">
        <f>IF(AND(A90&lt;&gt;"Y",B90&lt;&gt;"",K90="C"),B90,"")</f>
        <v/>
      </c>
    </row>
    <row r="9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f>IF(AND(A91&lt;&gt;"Y",B91&lt;&gt;""),B91,"")</f>
        <v/>
      </c>
      <c r="Z91">
        <f>IF(AND(A91&lt;&gt;"Y",B91&lt;&gt;"",K91="C"),B91,"")</f>
        <v/>
      </c>
    </row>
    <row r="92">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f>IF(AND(A92&lt;&gt;"Y",B92&lt;&gt;""),B92,"")</f>
        <v/>
      </c>
      <c r="Z92">
        <f>IF(AND(A92&lt;&gt;"Y",B92&lt;&gt;"",K92="C"),B92,"")</f>
        <v/>
      </c>
    </row>
    <row r="9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f>IF(AND(A93&lt;&gt;"Y",B93&lt;&gt;""),B93,"")</f>
        <v/>
      </c>
      <c r="Z93">
        <f>IF(AND(A93&lt;&gt;"Y",B93&lt;&gt;"",K93="C"),B93,"")</f>
        <v/>
      </c>
    </row>
    <row r="94">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f>IF(AND(A94&lt;&gt;"Y",B94&lt;&gt;""),B94,"")</f>
        <v/>
      </c>
      <c r="Z94">
        <f>IF(AND(A94&lt;&gt;"Y",B94&lt;&gt;"",K94="C"),B94,"")</f>
        <v/>
      </c>
    </row>
    <row r="95">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f>IF(AND(A95&lt;&gt;"Y",B95&lt;&gt;""),B95,"")</f>
        <v/>
      </c>
      <c r="Z95">
        <f>IF(AND(A95&lt;&gt;"Y",B95&lt;&gt;"",K95="C"),B95,"")</f>
        <v/>
      </c>
    </row>
    <row r="96">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f>IF(AND(A96&lt;&gt;"Y",B96&lt;&gt;""),B96,"")</f>
        <v/>
      </c>
      <c r="Z96">
        <f>IF(AND(A96&lt;&gt;"Y",B96&lt;&gt;"",K96="C"),B96,"")</f>
        <v/>
      </c>
    </row>
    <row r="97">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f>IF(AND(A97&lt;&gt;"Y",B97&lt;&gt;""),B97,"")</f>
        <v/>
      </c>
      <c r="Z97">
        <f>IF(AND(A97&lt;&gt;"Y",B97&lt;&gt;"",K97="C"),B97,"")</f>
        <v/>
      </c>
    </row>
    <row r="98">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f>IF(AND(A98&lt;&gt;"Y",B98&lt;&gt;""),B98,"")</f>
        <v/>
      </c>
      <c r="Z98">
        <f>IF(AND(A98&lt;&gt;"Y",B98&lt;&gt;"",K98="C"),B98,"")</f>
        <v/>
      </c>
    </row>
    <row r="99">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f>IF(AND(A99&lt;&gt;"Y",B99&lt;&gt;""),B99,"")</f>
        <v/>
      </c>
      <c r="Z99">
        <f>IF(AND(A99&lt;&gt;"Y",B99&lt;&gt;"",K99="C"),B99,"")</f>
        <v/>
      </c>
    </row>
    <row r="100">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f>IF(AND(A100&lt;&gt;"Y",B100&lt;&gt;""),B100,"")</f>
        <v/>
      </c>
      <c r="Z100">
        <f>IF(AND(A100&lt;&gt;"Y",B100&lt;&gt;"",K100="C"),B100,"")</f>
        <v/>
      </c>
    </row>
    <row r="101">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f>IF(AND(A101&lt;&gt;"Y",B101&lt;&gt;""),B101,"")</f>
        <v/>
      </c>
      <c r="Z101">
        <f>IF(AND(A101&lt;&gt;"Y",B101&lt;&gt;"",K101="C"),B101,"")</f>
        <v/>
      </c>
    </row>
    <row r="102">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f>IF(AND(A102&lt;&gt;"Y",B102&lt;&gt;""),B102,"")</f>
        <v/>
      </c>
      <c r="Z102">
        <f>IF(AND(A102&lt;&gt;"Y",B102&lt;&gt;"",K102="C"),B102,"")</f>
        <v/>
      </c>
    </row>
    <row r="103">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f>IF(AND(A103&lt;&gt;"Y",B103&lt;&gt;""),B103,"")</f>
        <v/>
      </c>
      <c r="Z103">
        <f>IF(AND(A103&lt;&gt;"Y",B103&lt;&gt;"",K103="C"),B103,"")</f>
        <v/>
      </c>
    </row>
    <row r="104">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f>IF(AND(A104&lt;&gt;"Y",B104&lt;&gt;""),B104,"")</f>
        <v/>
      </c>
      <c r="Z104">
        <f>IF(AND(A104&lt;&gt;"Y",B104&lt;&gt;"",K104="C"),B104,"")</f>
        <v/>
      </c>
    </row>
    <row r="105">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f>IF(AND(A105&lt;&gt;"Y",B105&lt;&gt;""),B105,"")</f>
        <v/>
      </c>
      <c r="Z105">
        <f>IF(AND(A105&lt;&gt;"Y",B105&lt;&gt;"",K105="C"),B105,"")</f>
        <v/>
      </c>
    </row>
    <row r="106">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f>IF(AND(A106&lt;&gt;"Y",B106&lt;&gt;""),B106,"")</f>
        <v/>
      </c>
      <c r="Z106">
        <f>IF(AND(A106&lt;&gt;"Y",B106&lt;&gt;"",K106="C"),B106,"")</f>
        <v/>
      </c>
    </row>
    <row r="107">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f>IF(AND(A107&lt;&gt;"Y",B107&lt;&gt;""),B107,"")</f>
        <v/>
      </c>
      <c r="Z107">
        <f>IF(AND(A107&lt;&gt;"Y",B107&lt;&gt;"",K107="C"),B107,"")</f>
        <v/>
      </c>
    </row>
    <row r="108">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f>IF(AND(A108&lt;&gt;"Y",B108&lt;&gt;""),B108,"")</f>
        <v/>
      </c>
      <c r="Z108">
        <f>IF(AND(A108&lt;&gt;"Y",B108&lt;&gt;"",K108="C"),B108,"")</f>
        <v/>
      </c>
    </row>
    <row r="109">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f>IF(AND(A109&lt;&gt;"Y",B109&lt;&gt;""),B109,"")</f>
        <v/>
      </c>
      <c r="Z109">
        <f>IF(AND(A109&lt;&gt;"Y",B109&lt;&gt;"",K109="C"),B109,"")</f>
        <v/>
      </c>
    </row>
    <row r="110">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f>IF(AND(A110&lt;&gt;"Y",B110&lt;&gt;""),B110,"")</f>
        <v/>
      </c>
      <c r="Z110">
        <f>IF(AND(A110&lt;&gt;"Y",B110&lt;&gt;"",K110="C"),B110,"")</f>
        <v/>
      </c>
    </row>
    <row r="111">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f>IF(AND(A111&lt;&gt;"Y",B111&lt;&gt;""),B111,"")</f>
        <v/>
      </c>
      <c r="Z111">
        <f>IF(AND(A111&lt;&gt;"Y",B111&lt;&gt;"",K111="C"),B111,"")</f>
        <v/>
      </c>
    </row>
    <row r="112">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f>IF(AND(A112&lt;&gt;"Y",B112&lt;&gt;""),B112,"")</f>
        <v/>
      </c>
      <c r="Z112">
        <f>IF(AND(A112&lt;&gt;"Y",B112&lt;&gt;"",K112="C"),B112,"")</f>
        <v/>
      </c>
    </row>
    <row r="113">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f>IF(AND(A113&lt;&gt;"Y",B113&lt;&gt;""),B113,"")</f>
        <v/>
      </c>
      <c r="Z113">
        <f>IF(AND(A113&lt;&gt;"Y",B113&lt;&gt;"",K113="C"),B113,"")</f>
        <v/>
      </c>
    </row>
    <row r="114">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f>IF(AND(A114&lt;&gt;"Y",B114&lt;&gt;""),B114,"")</f>
        <v/>
      </c>
      <c r="Z114">
        <f>IF(AND(A114&lt;&gt;"Y",B114&lt;&gt;"",K114="C"),B114,"")</f>
        <v/>
      </c>
    </row>
    <row r="115">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f>IF(AND(A115&lt;&gt;"Y",B115&lt;&gt;""),B115,"")</f>
        <v/>
      </c>
      <c r="Z115">
        <f>IF(AND(A115&lt;&gt;"Y",B115&lt;&gt;"",K115="C"),B115,"")</f>
        <v/>
      </c>
    </row>
    <row r="116">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f>IF(AND(A116&lt;&gt;"Y",B116&lt;&gt;""),B116,"")</f>
        <v/>
      </c>
      <c r="Z116">
        <f>IF(AND(A116&lt;&gt;"Y",B116&lt;&gt;"",K116="C"),B116,"")</f>
        <v/>
      </c>
    </row>
    <row r="117">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f>IF(AND(A117&lt;&gt;"Y",B117&lt;&gt;""),B117,"")</f>
        <v/>
      </c>
      <c r="Z117">
        <f>IF(AND(A117&lt;&gt;"Y",B117&lt;&gt;"",K117="C"),B117,"")</f>
        <v/>
      </c>
    </row>
    <row r="118">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f>IF(AND(A118&lt;&gt;"Y",B118&lt;&gt;""),B118,"")</f>
        <v/>
      </c>
      <c r="Z118">
        <f>IF(AND(A118&lt;&gt;"Y",B118&lt;&gt;"",K118="C"),B118,"")</f>
        <v/>
      </c>
    </row>
    <row r="119">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f>IF(AND(A119&lt;&gt;"Y",B119&lt;&gt;""),B119,"")</f>
        <v/>
      </c>
      <c r="Z119">
        <f>IF(AND(A119&lt;&gt;"Y",B119&lt;&gt;"",K119="C"),B119,"")</f>
        <v/>
      </c>
    </row>
    <row r="120">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f>IF(AND(A120&lt;&gt;"Y",B120&lt;&gt;""),B120,"")</f>
        <v/>
      </c>
      <c r="Z120">
        <f>IF(AND(A120&lt;&gt;"Y",B120&lt;&gt;"",K120="C"),B120,"")</f>
        <v/>
      </c>
    </row>
    <row r="12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f>IF(AND(A121&lt;&gt;"Y",B121&lt;&gt;""),B121,"")</f>
        <v/>
      </c>
      <c r="Z121">
        <f>IF(AND(A121&lt;&gt;"Y",B121&lt;&gt;"",K121="C"),B121,"")</f>
        <v/>
      </c>
    </row>
    <row r="122">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f>IF(AND(A122&lt;&gt;"Y",B122&lt;&gt;""),B122,"")</f>
        <v/>
      </c>
      <c r="Z122">
        <f>IF(AND(A122&lt;&gt;"Y",B122&lt;&gt;"",K122="C"),B122,"")</f>
        <v/>
      </c>
    </row>
    <row r="1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f>IF(AND(A123&lt;&gt;"Y",B123&lt;&gt;""),B123,"")</f>
        <v/>
      </c>
      <c r="Z123">
        <f>IF(AND(A123&lt;&gt;"Y",B123&lt;&gt;"",K123="C"),B123,"")</f>
        <v/>
      </c>
    </row>
    <row r="124">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f>IF(AND(A124&lt;&gt;"Y",B124&lt;&gt;""),B124,"")</f>
        <v/>
      </c>
      <c r="Z124">
        <f>IF(AND(A124&lt;&gt;"Y",B124&lt;&gt;"",K124="C"),B124,"")</f>
        <v/>
      </c>
    </row>
    <row r="125">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f>IF(AND(A125&lt;&gt;"Y",B125&lt;&gt;""),B125,"")</f>
        <v/>
      </c>
      <c r="Z125">
        <f>IF(AND(A125&lt;&gt;"Y",B125&lt;&gt;"",K125="C"),B125,"")</f>
        <v/>
      </c>
    </row>
    <row r="126">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f>IF(AND(A126&lt;&gt;"Y",B126&lt;&gt;""),B126,"")</f>
        <v/>
      </c>
      <c r="Z126">
        <f>IF(AND(A126&lt;&gt;"Y",B126&lt;&gt;"",K126="C"),B126,"")</f>
        <v/>
      </c>
    </row>
    <row r="127">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f>IF(AND(A127&lt;&gt;"Y",B127&lt;&gt;""),B127,"")</f>
        <v/>
      </c>
      <c r="Z127">
        <f>IF(AND(A127&lt;&gt;"Y",B127&lt;&gt;"",K127="C"),B127,"")</f>
        <v/>
      </c>
    </row>
    <row r="128">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f>IF(AND(A128&lt;&gt;"Y",B128&lt;&gt;""),B128,"")</f>
        <v/>
      </c>
      <c r="Z128">
        <f>IF(AND(A128&lt;&gt;"Y",B128&lt;&gt;"",K128="C"),B128,"")</f>
        <v/>
      </c>
    </row>
    <row r="129">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f>IF(AND(A129&lt;&gt;"Y",B129&lt;&gt;""),B129,"")</f>
        <v/>
      </c>
      <c r="Z129">
        <f>IF(AND(A129&lt;&gt;"Y",B129&lt;&gt;"",K129="C"),B129,"")</f>
        <v/>
      </c>
    </row>
    <row r="130">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f>IF(AND(A130&lt;&gt;"Y",B130&lt;&gt;""),B130,"")</f>
        <v/>
      </c>
      <c r="Z130">
        <f>IF(AND(A130&lt;&gt;"Y",B130&lt;&gt;"",K130="C"),B130,"")</f>
        <v/>
      </c>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f>IF(AND(A131&lt;&gt;"Y",B131&lt;&gt;""),B131,"")</f>
        <v/>
      </c>
      <c r="Z131">
        <f>IF(AND(A131&lt;&gt;"Y",B131&lt;&gt;"",K131="C"),B131,"")</f>
        <v/>
      </c>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f>IF(AND(A132&lt;&gt;"Y",B132&lt;&gt;""),B132,"")</f>
        <v/>
      </c>
      <c r="Z132">
        <f>IF(AND(A132&lt;&gt;"Y",B132&lt;&gt;"",K132="C"),B132,"")</f>
        <v/>
      </c>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f>IF(AND(A133&lt;&gt;"Y",B133&lt;&gt;""),B133,"")</f>
        <v/>
      </c>
      <c r="Z133">
        <f>IF(AND(A133&lt;&gt;"Y",B133&lt;&gt;"",K133="C"),B133,"")</f>
        <v/>
      </c>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f>IF(AND(A134&lt;&gt;"Y",B134&lt;&gt;""),B134,"")</f>
        <v/>
      </c>
      <c r="Z134">
        <f>IF(AND(A134&lt;&gt;"Y",B134&lt;&gt;"",K134="C"),B134,"")</f>
        <v/>
      </c>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f>IF(AND(A135&lt;&gt;"Y",B135&lt;&gt;""),B135,"")</f>
        <v/>
      </c>
      <c r="Z135">
        <f>IF(AND(A135&lt;&gt;"Y",B135&lt;&gt;"",K135="C"),B135,"")</f>
        <v/>
      </c>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f>IF(AND(A136&lt;&gt;"Y",B136&lt;&gt;""),B136,"")</f>
        <v/>
      </c>
      <c r="Z136">
        <f>IF(AND(A136&lt;&gt;"Y",B136&lt;&gt;"",K136="C"),B136,"")</f>
        <v/>
      </c>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f>IF(AND(A137&lt;&gt;"Y",B137&lt;&gt;""),B137,"")</f>
        <v/>
      </c>
      <c r="Z137">
        <f>IF(AND(A137&lt;&gt;"Y",B137&lt;&gt;"",K137="C"),B137,"")</f>
        <v/>
      </c>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f>IF(AND(A138&lt;&gt;"Y",B138&lt;&gt;""),B138,"")</f>
        <v/>
      </c>
      <c r="Z138">
        <f>IF(AND(A138&lt;&gt;"Y",B138&lt;&gt;"",K138="C"),B138,"")</f>
        <v/>
      </c>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f>IF(AND(A139&lt;&gt;"Y",B139&lt;&gt;""),B139,"")</f>
        <v/>
      </c>
      <c r="Z139">
        <f>IF(AND(A139&lt;&gt;"Y",B139&lt;&gt;"",K139="C"),B139,"")</f>
        <v/>
      </c>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f>IF(AND(A140&lt;&gt;"Y",B140&lt;&gt;""),B140,"")</f>
        <v/>
      </c>
      <c r="Z140">
        <f>IF(AND(A140&lt;&gt;"Y",B140&lt;&gt;"",K140="C"),B140,"")</f>
        <v/>
      </c>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f>IF(AND(A141&lt;&gt;"Y",B141&lt;&gt;""),B141,"")</f>
        <v/>
      </c>
      <c r="Z141">
        <f>IF(AND(A141&lt;&gt;"Y",B141&lt;&gt;"",K141="C"),B141,"")</f>
        <v/>
      </c>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f>IF(AND(A142&lt;&gt;"Y",B142&lt;&gt;""),B142,"")</f>
        <v/>
      </c>
      <c r="Z142">
        <f>IF(AND(A142&lt;&gt;"Y",B142&lt;&gt;"",K142="C"),B142,"")</f>
        <v/>
      </c>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f>IF(AND(A143&lt;&gt;"Y",B143&lt;&gt;""),B143,"")</f>
        <v/>
      </c>
      <c r="Z143">
        <f>IF(AND(A143&lt;&gt;"Y",B143&lt;&gt;"",K143="C"),B143,"")</f>
        <v/>
      </c>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f>IF(AND(A144&lt;&gt;"Y",B144&lt;&gt;""),B144,"")</f>
        <v/>
      </c>
      <c r="Z144">
        <f>IF(AND(A144&lt;&gt;"Y",B144&lt;&gt;"",K144="C"),B144,"")</f>
        <v/>
      </c>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f>IF(AND(A145&lt;&gt;"Y",B145&lt;&gt;""),B145,"")</f>
        <v/>
      </c>
      <c r="Z145">
        <f>IF(AND(A145&lt;&gt;"Y",B145&lt;&gt;"",K145="C"),B145,"")</f>
        <v/>
      </c>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f>IF(AND(A146&lt;&gt;"Y",B146&lt;&gt;""),B146,"")</f>
        <v/>
      </c>
      <c r="Z146">
        <f>IF(AND(A146&lt;&gt;"Y",B146&lt;&gt;"",K146="C"),B146,"")</f>
        <v/>
      </c>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f>IF(AND(A147&lt;&gt;"Y",B147&lt;&gt;""),B147,"")</f>
        <v/>
      </c>
      <c r="Z147">
        <f>IF(AND(A147&lt;&gt;"Y",B147&lt;&gt;"",K147="C"),B147,"")</f>
        <v/>
      </c>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f>IF(AND(A148&lt;&gt;"Y",B148&lt;&gt;""),B148,"")</f>
        <v/>
      </c>
      <c r="Z148">
        <f>IF(AND(A148&lt;&gt;"Y",B148&lt;&gt;"",K148="C"),B148,"")</f>
        <v/>
      </c>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f>IF(AND(A149&lt;&gt;"Y",B149&lt;&gt;""),B149,"")</f>
        <v/>
      </c>
      <c r="Z149">
        <f>IF(AND(A149&lt;&gt;"Y",B149&lt;&gt;"",K149="C"),B149,"")</f>
        <v/>
      </c>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f>IF(AND(A150&lt;&gt;"Y",B150&lt;&gt;""),B150,"")</f>
        <v/>
      </c>
      <c r="Z150">
        <f>IF(AND(A150&lt;&gt;"Y",B150&lt;&gt;"",K150="C"),B150,"")</f>
        <v/>
      </c>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f>IF(AND(A151&lt;&gt;"Y",B151&lt;&gt;""),B151,"")</f>
        <v/>
      </c>
      <c r="Z151">
        <f>IF(AND(A151&lt;&gt;"Y",B151&lt;&gt;"",K151="C"),B151,"")</f>
        <v/>
      </c>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f>IF(AND(A152&lt;&gt;"Y",B152&lt;&gt;""),B152,"")</f>
        <v/>
      </c>
      <c r="Z152">
        <f>IF(AND(A152&lt;&gt;"Y",B152&lt;&gt;"",K152="C"),B152,"")</f>
        <v/>
      </c>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f>IF(AND(A153&lt;&gt;"Y",B153&lt;&gt;""),B153,"")</f>
        <v/>
      </c>
      <c r="Z153">
        <f>IF(AND(A153&lt;&gt;"Y",B153&lt;&gt;"",K153="C"),B153,"")</f>
        <v/>
      </c>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f>IF(AND(A154&lt;&gt;"Y",B154&lt;&gt;""),B154,"")</f>
        <v/>
      </c>
      <c r="Z154">
        <f>IF(AND(A154&lt;&gt;"Y",B154&lt;&gt;"",K154="C"),B154,"")</f>
        <v/>
      </c>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f>IF(AND(A155&lt;&gt;"Y",B155&lt;&gt;""),B155,"")</f>
        <v/>
      </c>
      <c r="Z155">
        <f>IF(AND(A155&lt;&gt;"Y",B155&lt;&gt;"",K155="C"),B155,"")</f>
        <v/>
      </c>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f>IF(AND(A156&lt;&gt;"Y",B156&lt;&gt;""),B156,"")</f>
        <v/>
      </c>
      <c r="Z156">
        <f>IF(AND(A156&lt;&gt;"Y",B156&lt;&gt;"",K156="C"),B156,"")</f>
        <v/>
      </c>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f>IF(AND(A157&lt;&gt;"Y",B157&lt;&gt;""),B157,"")</f>
        <v/>
      </c>
      <c r="Z157">
        <f>IF(AND(A157&lt;&gt;"Y",B157&lt;&gt;"",K157="C"),B157,"")</f>
        <v/>
      </c>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f>IF(AND(A158&lt;&gt;"Y",B158&lt;&gt;""),B158,"")</f>
        <v/>
      </c>
      <c r="Z158">
        <f>IF(AND(A158&lt;&gt;"Y",B158&lt;&gt;"",K158="C"),B158,"")</f>
        <v/>
      </c>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f>IF(AND(A159&lt;&gt;"Y",B159&lt;&gt;""),B159,"")</f>
        <v/>
      </c>
      <c r="Z159">
        <f>IF(AND(A159&lt;&gt;"Y",B159&lt;&gt;"",K159="C"),B159,"")</f>
        <v/>
      </c>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f>IF(AND(A160&lt;&gt;"Y",B160&lt;&gt;""),B160,"")</f>
        <v/>
      </c>
      <c r="Z160">
        <f>IF(AND(A160&lt;&gt;"Y",B160&lt;&gt;"",K160="C"),B160,"")</f>
        <v/>
      </c>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f>IF(AND(A161&lt;&gt;"Y",B161&lt;&gt;""),B161,"")</f>
        <v/>
      </c>
      <c r="Z161">
        <f>IF(AND(A161&lt;&gt;"Y",B161&lt;&gt;"",K161="C"),B161,"")</f>
        <v/>
      </c>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f>IF(AND(A162&lt;&gt;"Y",B162&lt;&gt;""),B162,"")</f>
        <v/>
      </c>
      <c r="Z162">
        <f>IF(AND(A162&lt;&gt;"Y",B162&lt;&gt;"",K162="C"),B162,"")</f>
        <v/>
      </c>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f>IF(AND(A163&lt;&gt;"Y",B163&lt;&gt;""),B163,"")</f>
        <v/>
      </c>
      <c r="Z163">
        <f>IF(AND(A163&lt;&gt;"Y",B163&lt;&gt;"",K163="C"),B163,"")</f>
        <v/>
      </c>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f>IF(AND(A164&lt;&gt;"Y",B164&lt;&gt;""),B164,"")</f>
        <v/>
      </c>
      <c r="Z164">
        <f>IF(AND(A164&lt;&gt;"Y",B164&lt;&gt;"",K164="C"),B164,"")</f>
        <v/>
      </c>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f>IF(AND(A165&lt;&gt;"Y",B165&lt;&gt;""),B165,"")</f>
        <v/>
      </c>
      <c r="Z165">
        <f>IF(AND(A165&lt;&gt;"Y",B165&lt;&gt;"",K165="C"),B165,"")</f>
        <v/>
      </c>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f>IF(AND(A166&lt;&gt;"Y",B166&lt;&gt;""),B166,"")</f>
        <v/>
      </c>
      <c r="Z166">
        <f>IF(AND(A166&lt;&gt;"Y",B166&lt;&gt;"",K166="C"),B166,"")</f>
        <v/>
      </c>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f>IF(AND(A167&lt;&gt;"Y",B167&lt;&gt;""),B167,"")</f>
        <v/>
      </c>
      <c r="Z167">
        <f>IF(AND(A167&lt;&gt;"Y",B167&lt;&gt;"",K167="C"),B167,"")</f>
        <v/>
      </c>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f>IF(AND(A168&lt;&gt;"Y",B168&lt;&gt;""),B168,"")</f>
        <v/>
      </c>
      <c r="Z168">
        <f>IF(AND(A168&lt;&gt;"Y",B168&lt;&gt;"",K168="C"),B168,"")</f>
        <v/>
      </c>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f>IF(AND(A169&lt;&gt;"Y",B169&lt;&gt;""),B169,"")</f>
        <v/>
      </c>
      <c r="Z169">
        <f>IF(AND(A169&lt;&gt;"Y",B169&lt;&gt;"",K169="C"),B169,"")</f>
        <v/>
      </c>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f>IF(AND(A170&lt;&gt;"Y",B170&lt;&gt;""),B170,"")</f>
        <v/>
      </c>
      <c r="Z170">
        <f>IF(AND(A170&lt;&gt;"Y",B170&lt;&gt;"",K170="C"),B170,"")</f>
        <v/>
      </c>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f>IF(AND(A171&lt;&gt;"Y",B171&lt;&gt;""),B171,"")</f>
        <v/>
      </c>
      <c r="Z171">
        <f>IF(AND(A171&lt;&gt;"Y",B171&lt;&gt;"",K171="C"),B171,"")</f>
        <v/>
      </c>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f>IF(AND(A172&lt;&gt;"Y",B172&lt;&gt;""),B172,"")</f>
        <v/>
      </c>
      <c r="Z172">
        <f>IF(AND(A172&lt;&gt;"Y",B172&lt;&gt;"",K172="C"),B172,"")</f>
        <v/>
      </c>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f>IF(AND(A173&lt;&gt;"Y",B173&lt;&gt;""),B173,"")</f>
        <v/>
      </c>
      <c r="Z173">
        <f>IF(AND(A173&lt;&gt;"Y",B173&lt;&gt;"",K173="C"),B173,"")</f>
        <v/>
      </c>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f>IF(AND(A174&lt;&gt;"Y",B174&lt;&gt;""),B174,"")</f>
        <v/>
      </c>
      <c r="Z174">
        <f>IF(AND(A174&lt;&gt;"Y",B174&lt;&gt;"",K174="C"),B174,"")</f>
        <v/>
      </c>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f>IF(AND(A175&lt;&gt;"Y",B175&lt;&gt;""),B175,"")</f>
        <v/>
      </c>
      <c r="Z175">
        <f>IF(AND(A175&lt;&gt;"Y",B175&lt;&gt;"",K175="C"),B175,"")</f>
        <v/>
      </c>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f>IF(AND(A176&lt;&gt;"Y",B176&lt;&gt;""),B176,"")</f>
        <v/>
      </c>
      <c r="Z176">
        <f>IF(AND(A176&lt;&gt;"Y",B176&lt;&gt;"",K176="C"),B176,"")</f>
        <v/>
      </c>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f>IF(AND(A177&lt;&gt;"Y",B177&lt;&gt;""),B177,"")</f>
        <v/>
      </c>
      <c r="Z177">
        <f>IF(AND(A177&lt;&gt;"Y",B177&lt;&gt;"",K177="C"),B177,"")</f>
        <v/>
      </c>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f>IF(AND(A178&lt;&gt;"Y",B178&lt;&gt;""),B178,"")</f>
        <v/>
      </c>
      <c r="Z178">
        <f>IF(AND(A178&lt;&gt;"Y",B178&lt;&gt;"",K178="C"),B178,"")</f>
        <v/>
      </c>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f>IF(AND(A179&lt;&gt;"Y",B179&lt;&gt;""),B179,"")</f>
        <v/>
      </c>
      <c r="Z179">
        <f>IF(AND(A179&lt;&gt;"Y",B179&lt;&gt;"",K179="C"),B179,"")</f>
        <v/>
      </c>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f>IF(AND(A180&lt;&gt;"Y",B180&lt;&gt;""),B180,"")</f>
        <v/>
      </c>
      <c r="Z180">
        <f>IF(AND(A180&lt;&gt;"Y",B180&lt;&gt;"",K180="C"),B180,"")</f>
        <v/>
      </c>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f>IF(AND(A181&lt;&gt;"Y",B181&lt;&gt;""),B181,"")</f>
        <v/>
      </c>
      <c r="Z181">
        <f>IF(AND(A181&lt;&gt;"Y",B181&lt;&gt;"",K181="C"),B181,"")</f>
        <v/>
      </c>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f>IF(AND(A182&lt;&gt;"Y",B182&lt;&gt;""),B182,"")</f>
        <v/>
      </c>
      <c r="Z182">
        <f>IF(AND(A182&lt;&gt;"Y",B182&lt;&gt;"",K182="C"),B182,"")</f>
        <v/>
      </c>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f>IF(AND(A183&lt;&gt;"Y",B183&lt;&gt;""),B183,"")</f>
        <v/>
      </c>
      <c r="Z183">
        <f>IF(AND(A183&lt;&gt;"Y",B183&lt;&gt;"",K183="C"),B183,"")</f>
        <v/>
      </c>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f>IF(AND(A184&lt;&gt;"Y",B184&lt;&gt;""),B184,"")</f>
        <v/>
      </c>
      <c r="Z184">
        <f>IF(AND(A184&lt;&gt;"Y",B184&lt;&gt;"",K184="C"),B184,"")</f>
        <v/>
      </c>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f>IF(AND(A185&lt;&gt;"Y",B185&lt;&gt;""),B185,"")</f>
        <v/>
      </c>
      <c r="Z185">
        <f>IF(AND(A185&lt;&gt;"Y",B185&lt;&gt;"",K185="C"),B185,"")</f>
        <v/>
      </c>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f>IF(AND(A186&lt;&gt;"Y",B186&lt;&gt;""),B186,"")</f>
        <v/>
      </c>
      <c r="Z186">
        <f>IF(AND(A186&lt;&gt;"Y",B186&lt;&gt;"",K186="C"),B186,"")</f>
        <v/>
      </c>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f>IF(AND(A187&lt;&gt;"Y",B187&lt;&gt;""),B187,"")</f>
        <v/>
      </c>
      <c r="Z187">
        <f>IF(AND(A187&lt;&gt;"Y",B187&lt;&gt;"",K187="C"),B187,"")</f>
        <v/>
      </c>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f>IF(AND(A188&lt;&gt;"Y",B188&lt;&gt;""),B188,"")</f>
        <v/>
      </c>
      <c r="Z188">
        <f>IF(AND(A188&lt;&gt;"Y",B188&lt;&gt;"",K188="C"),B188,"")</f>
        <v/>
      </c>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f>IF(AND(A189&lt;&gt;"Y",B189&lt;&gt;""),B189,"")</f>
        <v/>
      </c>
      <c r="Z189">
        <f>IF(AND(A189&lt;&gt;"Y",B189&lt;&gt;"",K189="C"),B189,"")</f>
        <v/>
      </c>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f>IF(AND(A190&lt;&gt;"Y",B190&lt;&gt;""),B190,"")</f>
        <v/>
      </c>
      <c r="Z190">
        <f>IF(AND(A190&lt;&gt;"Y",B190&lt;&gt;"",K190="C"),B190,"")</f>
        <v/>
      </c>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f>IF(AND(A191&lt;&gt;"Y",B191&lt;&gt;""),B191,"")</f>
        <v/>
      </c>
      <c r="Z191">
        <f>IF(AND(A191&lt;&gt;"Y",B191&lt;&gt;"",K191="C"),B191,"")</f>
        <v/>
      </c>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f>IF(AND(A192&lt;&gt;"Y",B192&lt;&gt;""),B192,"")</f>
        <v/>
      </c>
      <c r="Z192">
        <f>IF(AND(A192&lt;&gt;"Y",B192&lt;&gt;"",K192="C"),B192,"")</f>
        <v/>
      </c>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f>IF(AND(A193&lt;&gt;"Y",B193&lt;&gt;""),B193,"")</f>
        <v/>
      </c>
      <c r="Z193">
        <f>IF(AND(A193&lt;&gt;"Y",B193&lt;&gt;"",K193="C"),B193,"")</f>
        <v/>
      </c>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f>IF(AND(A194&lt;&gt;"Y",B194&lt;&gt;""),B194,"")</f>
        <v/>
      </c>
      <c r="Z194">
        <f>IF(AND(A194&lt;&gt;"Y",B194&lt;&gt;"",K194="C"),B194,"")</f>
        <v/>
      </c>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f>IF(AND(A195&lt;&gt;"Y",B195&lt;&gt;""),B195,"")</f>
        <v/>
      </c>
      <c r="Z195">
        <f>IF(AND(A195&lt;&gt;"Y",B195&lt;&gt;"",K195="C"),B195,"")</f>
        <v/>
      </c>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f>IF(AND(A196&lt;&gt;"Y",B196&lt;&gt;""),B196,"")</f>
        <v/>
      </c>
      <c r="Z196">
        <f>IF(AND(A196&lt;&gt;"Y",B196&lt;&gt;"",K196="C"),B196,"")</f>
        <v/>
      </c>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f>IF(AND(A197&lt;&gt;"Y",B197&lt;&gt;""),B197,"")</f>
        <v/>
      </c>
      <c r="Z197">
        <f>IF(AND(A197&lt;&gt;"Y",B197&lt;&gt;"",K197="C"),B197,"")</f>
        <v/>
      </c>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f>IF(AND(A198&lt;&gt;"Y",B198&lt;&gt;""),B198,"")</f>
        <v/>
      </c>
      <c r="Z198">
        <f>IF(AND(A198&lt;&gt;"Y",B198&lt;&gt;"",K198="C"),B198,"")</f>
        <v/>
      </c>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f>IF(AND(A199&lt;&gt;"Y",B199&lt;&gt;""),B199,"")</f>
        <v/>
      </c>
      <c r="Z199">
        <f>IF(AND(A199&lt;&gt;"Y",B199&lt;&gt;"",K199="C"),B199,"")</f>
        <v/>
      </c>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f>IF(AND(A200&lt;&gt;"Y",B200&lt;&gt;""),B200,"")</f>
        <v/>
      </c>
      <c r="Z200">
        <f>IF(AND(A200&lt;&gt;"Y",B200&lt;&gt;"",K200="C"),B200,"")</f>
        <v/>
      </c>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f>IF(AND(A201&lt;&gt;"Y",B201&lt;&gt;""),B201,"")</f>
        <v/>
      </c>
      <c r="Z201">
        <f>IF(AND(A201&lt;&gt;"Y",B201&lt;&gt;"",K201="C"),B201,"")</f>
        <v/>
      </c>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f>IF(AND(A202&lt;&gt;"Y",B202&lt;&gt;""),B202,"")</f>
        <v/>
      </c>
      <c r="Z202">
        <f>IF(AND(A202&lt;&gt;"Y",B202&lt;&gt;"",K202="C"),B202,"")</f>
        <v/>
      </c>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f>IF(AND(A203&lt;&gt;"Y",B203&lt;&gt;""),B203,"")</f>
        <v/>
      </c>
      <c r="Z203">
        <f>IF(AND(A203&lt;&gt;"Y",B203&lt;&gt;"",K203="C"),B203,"")</f>
        <v/>
      </c>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f>IF(AND(A204&lt;&gt;"Y",B204&lt;&gt;""),B204,"")</f>
        <v/>
      </c>
      <c r="Z204">
        <f>IF(AND(A204&lt;&gt;"Y",B204&lt;&gt;"",K204="C"),B204,"")</f>
        <v/>
      </c>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f>IF(AND(A205&lt;&gt;"Y",B205&lt;&gt;""),B205,"")</f>
        <v/>
      </c>
      <c r="Z205">
        <f>IF(AND(A205&lt;&gt;"Y",B205&lt;&gt;"",K205="C"),B205,"")</f>
        <v/>
      </c>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f>IF(AND(A206&lt;&gt;"Y",B206&lt;&gt;""),B206,"")</f>
        <v/>
      </c>
      <c r="Z206">
        <f>IF(AND(A206&lt;&gt;"Y",B206&lt;&gt;"",K206="C"),B206,"")</f>
        <v/>
      </c>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f>IF(AND(A207&lt;&gt;"Y",B207&lt;&gt;""),B207,"")</f>
        <v/>
      </c>
      <c r="Z207">
        <f>IF(AND(A207&lt;&gt;"Y",B207&lt;&gt;"",K207="C"),B207,"")</f>
        <v/>
      </c>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f>IF(AND(A208&lt;&gt;"Y",B208&lt;&gt;""),B208,"")</f>
        <v/>
      </c>
      <c r="Z208">
        <f>IF(AND(A208&lt;&gt;"Y",B208&lt;&gt;"",K208="C"),B208,"")</f>
        <v/>
      </c>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f>IF(AND(A209&lt;&gt;"Y",B209&lt;&gt;""),B209,"")</f>
        <v/>
      </c>
      <c r="Z209">
        <f>IF(AND(A209&lt;&gt;"Y",B209&lt;&gt;"",K209="C"),B209,"")</f>
        <v/>
      </c>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f>IF(AND(A210&lt;&gt;"Y",B210&lt;&gt;""),B210,"")</f>
        <v/>
      </c>
      <c r="Z210">
        <f>IF(AND(A210&lt;&gt;"Y",B210&lt;&gt;"",K210="C"),B210,"")</f>
        <v/>
      </c>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f>IF(AND(A211&lt;&gt;"Y",B211&lt;&gt;""),B211,"")</f>
        <v/>
      </c>
      <c r="Z211">
        <f>IF(AND(A211&lt;&gt;"Y",B211&lt;&gt;"",K211="C"),B211,"")</f>
        <v/>
      </c>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f>IF(AND(A212&lt;&gt;"Y",B212&lt;&gt;""),B212,"")</f>
        <v/>
      </c>
      <c r="Z212">
        <f>IF(AND(A212&lt;&gt;"Y",B212&lt;&gt;"",K212="C"),B212,"")</f>
        <v/>
      </c>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f>IF(AND(A213&lt;&gt;"Y",B213&lt;&gt;""),B213,"")</f>
        <v/>
      </c>
      <c r="Z213">
        <f>IF(AND(A213&lt;&gt;"Y",B213&lt;&gt;"",K213="C"),B213,"")</f>
        <v/>
      </c>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f>IF(AND(A214&lt;&gt;"Y",B214&lt;&gt;""),B214,"")</f>
        <v/>
      </c>
      <c r="Z214">
        <f>IF(AND(A214&lt;&gt;"Y",B214&lt;&gt;"",K214="C"),B214,"")</f>
        <v/>
      </c>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f>IF(AND(A215&lt;&gt;"Y",B215&lt;&gt;""),B215,"")</f>
        <v/>
      </c>
      <c r="Z215">
        <f>IF(AND(A215&lt;&gt;"Y",B215&lt;&gt;"",K215="C"),B215,"")</f>
        <v/>
      </c>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f>IF(AND(A216&lt;&gt;"Y",B216&lt;&gt;""),B216,"")</f>
        <v/>
      </c>
      <c r="Z216">
        <f>IF(AND(A216&lt;&gt;"Y",B216&lt;&gt;"",K216="C"),B216,"")</f>
        <v/>
      </c>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f>IF(AND(A217&lt;&gt;"Y",B217&lt;&gt;""),B217,"")</f>
        <v/>
      </c>
      <c r="Z217">
        <f>IF(AND(A217&lt;&gt;"Y",B217&lt;&gt;"",K217="C"),B217,"")</f>
        <v/>
      </c>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f>IF(AND(A218&lt;&gt;"Y",B218&lt;&gt;""),B218,"")</f>
        <v/>
      </c>
      <c r="Z218">
        <f>IF(AND(A218&lt;&gt;"Y",B218&lt;&gt;"",K218="C"),B218,"")</f>
        <v/>
      </c>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f>IF(AND(A219&lt;&gt;"Y",B219&lt;&gt;""),B219,"")</f>
        <v/>
      </c>
      <c r="Z219">
        <f>IF(AND(A219&lt;&gt;"Y",B219&lt;&gt;"",K219="C"),B219,"")</f>
        <v/>
      </c>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f>IF(AND(A220&lt;&gt;"Y",B220&lt;&gt;""),B220,"")</f>
        <v/>
      </c>
      <c r="Z220">
        <f>IF(AND(A220&lt;&gt;"Y",B220&lt;&gt;"",K220="C"),B220,"")</f>
        <v/>
      </c>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f>IF(AND(A221&lt;&gt;"Y",B221&lt;&gt;""),B221,"")</f>
        <v/>
      </c>
      <c r="Z221">
        <f>IF(AND(A221&lt;&gt;"Y",B221&lt;&gt;"",K221="C"),B221,"")</f>
        <v/>
      </c>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f>IF(AND(A222&lt;&gt;"Y",B222&lt;&gt;""),B222,"")</f>
        <v/>
      </c>
      <c r="Z222">
        <f>IF(AND(A222&lt;&gt;"Y",B222&lt;&gt;"",K222="C"),B222,"")</f>
        <v/>
      </c>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f>IF(AND(A223&lt;&gt;"Y",B223&lt;&gt;""),B223,"")</f>
        <v/>
      </c>
      <c r="Z223">
        <f>IF(AND(A223&lt;&gt;"Y",B223&lt;&gt;"",K223="C"),B223,"")</f>
        <v/>
      </c>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f>IF(AND(A224&lt;&gt;"Y",B224&lt;&gt;""),B224,"")</f>
        <v/>
      </c>
      <c r="Z224">
        <f>IF(AND(A224&lt;&gt;"Y",B224&lt;&gt;"",K224="C"),B224,"")</f>
        <v/>
      </c>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f>IF(AND(A225&lt;&gt;"Y",B225&lt;&gt;""),B225,"")</f>
        <v/>
      </c>
      <c r="Z225">
        <f>IF(AND(A225&lt;&gt;"Y",B225&lt;&gt;"",K225="C"),B225,"")</f>
        <v/>
      </c>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f>IF(AND(A226&lt;&gt;"Y",B226&lt;&gt;""),B226,"")</f>
        <v/>
      </c>
      <c r="Z226">
        <f>IF(AND(A226&lt;&gt;"Y",B226&lt;&gt;"",K226="C"),B226,"")</f>
        <v/>
      </c>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f>IF(AND(A227&lt;&gt;"Y",B227&lt;&gt;""),B227,"")</f>
        <v/>
      </c>
      <c r="Z227">
        <f>IF(AND(A227&lt;&gt;"Y",B227&lt;&gt;"",K227="C"),B227,"")</f>
        <v/>
      </c>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f>IF(AND(A228&lt;&gt;"Y",B228&lt;&gt;""),B228,"")</f>
        <v/>
      </c>
      <c r="Z228">
        <f>IF(AND(A228&lt;&gt;"Y",B228&lt;&gt;"",K228="C"),B228,"")</f>
        <v/>
      </c>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f>IF(AND(A229&lt;&gt;"Y",B229&lt;&gt;""),B229,"")</f>
        <v/>
      </c>
      <c r="Z229">
        <f>IF(AND(A229&lt;&gt;"Y",B229&lt;&gt;"",K229="C"),B229,"")</f>
        <v/>
      </c>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f>IF(AND(A230&lt;&gt;"Y",B230&lt;&gt;""),B230,"")</f>
        <v/>
      </c>
      <c r="Z230">
        <f>IF(AND(A230&lt;&gt;"Y",B230&lt;&gt;"",K230="C"),B230,"")</f>
        <v/>
      </c>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f>IF(AND(A231&lt;&gt;"Y",B231&lt;&gt;""),B231,"")</f>
        <v/>
      </c>
      <c r="Z231">
        <f>IF(AND(A231&lt;&gt;"Y",B231&lt;&gt;"",K231="C"),B231,"")</f>
        <v/>
      </c>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f>IF(AND(A232&lt;&gt;"Y",B232&lt;&gt;""),B232,"")</f>
        <v/>
      </c>
      <c r="Z232">
        <f>IF(AND(A232&lt;&gt;"Y",B232&lt;&gt;"",K232="C"),B232,"")</f>
        <v/>
      </c>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f>IF(AND(A233&lt;&gt;"Y",B233&lt;&gt;""),B233,"")</f>
        <v/>
      </c>
      <c r="Z233">
        <f>IF(AND(A233&lt;&gt;"Y",B233&lt;&gt;"",K233="C"),B233,"")</f>
        <v/>
      </c>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f>IF(AND(A234&lt;&gt;"Y",B234&lt;&gt;""),B234,"")</f>
        <v/>
      </c>
      <c r="Z234">
        <f>IF(AND(A234&lt;&gt;"Y",B234&lt;&gt;"",K234="C"),B234,"")</f>
        <v/>
      </c>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f>IF(AND(A235&lt;&gt;"Y",B235&lt;&gt;""),B235,"")</f>
        <v/>
      </c>
      <c r="Z235">
        <f>IF(AND(A235&lt;&gt;"Y",B235&lt;&gt;"",K235="C"),B235,"")</f>
        <v/>
      </c>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f>IF(AND(A236&lt;&gt;"Y",B236&lt;&gt;""),B236,"")</f>
        <v/>
      </c>
      <c r="Z236">
        <f>IF(AND(A236&lt;&gt;"Y",B236&lt;&gt;"",K236="C"),B236,"")</f>
        <v/>
      </c>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f>IF(AND(A237&lt;&gt;"Y",B237&lt;&gt;""),B237,"")</f>
        <v/>
      </c>
      <c r="Z237">
        <f>IF(AND(A237&lt;&gt;"Y",B237&lt;&gt;"",K237="C"),B237,"")</f>
        <v/>
      </c>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f>IF(AND(A238&lt;&gt;"Y",B238&lt;&gt;""),B238,"")</f>
        <v/>
      </c>
      <c r="Z238">
        <f>IF(AND(A238&lt;&gt;"Y",B238&lt;&gt;"",K238="C"),B238,"")</f>
        <v/>
      </c>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f>IF(AND(A239&lt;&gt;"Y",B239&lt;&gt;""),B239,"")</f>
        <v/>
      </c>
      <c r="Z239">
        <f>IF(AND(A239&lt;&gt;"Y",B239&lt;&gt;"",K239="C"),B239,"")</f>
        <v/>
      </c>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f>IF(AND(A240&lt;&gt;"Y",B240&lt;&gt;""),B240,"")</f>
        <v/>
      </c>
      <c r="Z240">
        <f>IF(AND(A240&lt;&gt;"Y",B240&lt;&gt;"",K240="C"),B240,"")</f>
        <v/>
      </c>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f>IF(AND(A241&lt;&gt;"Y",B241&lt;&gt;""),B241,"")</f>
        <v/>
      </c>
      <c r="Z241">
        <f>IF(AND(A241&lt;&gt;"Y",B241&lt;&gt;"",K241="C"),B241,"")</f>
        <v/>
      </c>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f>IF(AND(A242&lt;&gt;"Y",B242&lt;&gt;""),B242,"")</f>
        <v/>
      </c>
      <c r="Z242">
        <f>IF(AND(A242&lt;&gt;"Y",B242&lt;&gt;"",K242="C"),B242,"")</f>
        <v/>
      </c>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f>IF(AND(A243&lt;&gt;"Y",B243&lt;&gt;""),B243,"")</f>
        <v/>
      </c>
      <c r="Z243">
        <f>IF(AND(A243&lt;&gt;"Y",B243&lt;&gt;"",K243="C"),B243,"")</f>
        <v/>
      </c>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f>IF(AND(A244&lt;&gt;"Y",B244&lt;&gt;""),B244,"")</f>
        <v/>
      </c>
      <c r="Z244">
        <f>IF(AND(A244&lt;&gt;"Y",B244&lt;&gt;"",K244="C"),B244,"")</f>
        <v/>
      </c>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f>IF(AND(A245&lt;&gt;"Y",B245&lt;&gt;""),B245,"")</f>
        <v/>
      </c>
      <c r="Z245">
        <f>IF(AND(A245&lt;&gt;"Y",B245&lt;&gt;"",K245="C"),B245,"")</f>
        <v/>
      </c>
    </row>
    <row r="246">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f>IF(AND(A246&lt;&gt;"Y",B246&lt;&gt;""),B246,"")</f>
        <v/>
      </c>
      <c r="Z246">
        <f>IF(AND(A246&lt;&gt;"Y",B246&lt;&gt;"",K246="C"),B246,"")</f>
        <v/>
      </c>
    </row>
    <row r="247">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f>IF(AND(A247&lt;&gt;"Y",B247&lt;&gt;""),B247,"")</f>
        <v/>
      </c>
      <c r="Z247">
        <f>IF(AND(A247&lt;&gt;"Y",B247&lt;&gt;"",K247="C"),B247,"")</f>
        <v/>
      </c>
    </row>
    <row r="248">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f>IF(AND(A248&lt;&gt;"Y",B248&lt;&gt;""),B248,"")</f>
        <v/>
      </c>
      <c r="Z248">
        <f>IF(AND(A248&lt;&gt;"Y",B248&lt;&gt;"",K248="C"),B248,"")</f>
        <v/>
      </c>
    </row>
    <row r="249">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f>IF(AND(A249&lt;&gt;"Y",B249&lt;&gt;""),B249,"")</f>
        <v/>
      </c>
      <c r="Z249">
        <f>IF(AND(A249&lt;&gt;"Y",B249&lt;&gt;"",K249="C"),B249,"")</f>
        <v/>
      </c>
    </row>
    <row r="250">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f>IF(AND(A250&lt;&gt;"Y",B250&lt;&gt;""),B250,"")</f>
        <v/>
      </c>
      <c r="Z250">
        <f>IF(AND(A250&lt;&gt;"Y",B250&lt;&gt;"",K250="C"),B250,"")</f>
        <v/>
      </c>
    </row>
    <row r="251">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f>IF(AND(A251&lt;&gt;"Y",B251&lt;&gt;""),B251,"")</f>
        <v/>
      </c>
      <c r="Z251">
        <f>IF(AND(A251&lt;&gt;"Y",B251&lt;&gt;"",K251="C"),B251,"")</f>
        <v/>
      </c>
    </row>
    <row r="252">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f>IF(AND(A252&lt;&gt;"Y",B252&lt;&gt;""),B252,"")</f>
        <v/>
      </c>
      <c r="Z252">
        <f>IF(AND(A252&lt;&gt;"Y",B252&lt;&gt;"",K252="C"),B252,"")</f>
        <v/>
      </c>
    </row>
    <row r="253">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f>IF(AND(A253&lt;&gt;"Y",B253&lt;&gt;""),B253,"")</f>
        <v/>
      </c>
      <c r="Z253">
        <f>IF(AND(A253&lt;&gt;"Y",B253&lt;&gt;"",K253="C"),B253,"")</f>
        <v/>
      </c>
    </row>
    <row r="254">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f>IF(AND(A254&lt;&gt;"Y",B254&lt;&gt;""),B254,"")</f>
        <v/>
      </c>
      <c r="Z254">
        <f>IF(AND(A254&lt;&gt;"Y",B254&lt;&gt;"",K254="C"),B254,"")</f>
        <v/>
      </c>
    </row>
    <row r="255">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f>IF(AND(A255&lt;&gt;"Y",B255&lt;&gt;""),B255,"")</f>
        <v/>
      </c>
      <c r="Z255">
        <f>IF(AND(A255&lt;&gt;"Y",B255&lt;&gt;"",K255="C"),B255,"")</f>
        <v/>
      </c>
    </row>
    <row r="256">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f>IF(AND(A256&lt;&gt;"Y",B256&lt;&gt;""),B256,"")</f>
        <v/>
      </c>
      <c r="Z256">
        <f>IF(AND(A256&lt;&gt;"Y",B256&lt;&gt;"",K256="C"),B256,"")</f>
        <v/>
      </c>
    </row>
    <row r="257">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f>IF(AND(A257&lt;&gt;"Y",B257&lt;&gt;""),B257,"")</f>
        <v/>
      </c>
      <c r="Z257">
        <f>IF(AND(A257&lt;&gt;"Y",B257&lt;&gt;"",K257="C"),B257,"")</f>
        <v/>
      </c>
    </row>
    <row r="258">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f>IF(AND(A258&lt;&gt;"Y",B258&lt;&gt;""),B258,"")</f>
        <v/>
      </c>
      <c r="Z258">
        <f>IF(AND(A258&lt;&gt;"Y",B258&lt;&gt;"",K258="C"),B258,"")</f>
        <v/>
      </c>
    </row>
    <row r="259">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f>IF(AND(A259&lt;&gt;"Y",B259&lt;&gt;""),B259,"")</f>
        <v/>
      </c>
      <c r="Z259">
        <f>IF(AND(A259&lt;&gt;"Y",B259&lt;&gt;"",K259="C"),B259,"")</f>
        <v/>
      </c>
    </row>
    <row r="260">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f>IF(AND(A260&lt;&gt;"Y",B260&lt;&gt;""),B260,"")</f>
        <v/>
      </c>
      <c r="Z260">
        <f>IF(AND(A260&lt;&gt;"Y",B260&lt;&gt;"",K260="C"),B260,"")</f>
        <v/>
      </c>
    </row>
    <row r="26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f>IF(AND(A261&lt;&gt;"Y",B261&lt;&gt;""),B261,"")</f>
        <v/>
      </c>
      <c r="Z261">
        <f>IF(AND(A261&lt;&gt;"Y",B261&lt;&gt;"",K261="C"),B261,"")</f>
        <v/>
      </c>
    </row>
    <row r="262">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f>IF(AND(A262&lt;&gt;"Y",B262&lt;&gt;""),B262,"")</f>
        <v/>
      </c>
      <c r="Z262">
        <f>IF(AND(A262&lt;&gt;"Y",B262&lt;&gt;"",K262="C"),B262,"")</f>
        <v/>
      </c>
    </row>
    <row r="263">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f>IF(AND(A263&lt;&gt;"Y",B263&lt;&gt;""),B263,"")</f>
        <v/>
      </c>
      <c r="Z263">
        <f>IF(AND(A263&lt;&gt;"Y",B263&lt;&gt;"",K263="C"),B263,"")</f>
        <v/>
      </c>
    </row>
    <row r="264">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f>IF(AND(A264&lt;&gt;"Y",B264&lt;&gt;""),B264,"")</f>
        <v/>
      </c>
      <c r="Z264">
        <f>IF(AND(A264&lt;&gt;"Y",B264&lt;&gt;"",K264="C"),B264,"")</f>
        <v/>
      </c>
    </row>
    <row r="265">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f>IF(AND(A265&lt;&gt;"Y",B265&lt;&gt;""),B265,"")</f>
        <v/>
      </c>
      <c r="Z265">
        <f>IF(AND(A265&lt;&gt;"Y",B265&lt;&gt;"",K265="C"),B265,"")</f>
        <v/>
      </c>
    </row>
    <row r="266">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f>IF(AND(A266&lt;&gt;"Y",B266&lt;&gt;""),B266,"")</f>
        <v/>
      </c>
      <c r="Z266">
        <f>IF(AND(A266&lt;&gt;"Y",B266&lt;&gt;"",K266="C"),B266,"")</f>
        <v/>
      </c>
    </row>
    <row r="267">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f>IF(AND(A267&lt;&gt;"Y",B267&lt;&gt;""),B267,"")</f>
        <v/>
      </c>
      <c r="Z267">
        <f>IF(AND(A267&lt;&gt;"Y",B267&lt;&gt;"",K267="C"),B267,"")</f>
        <v/>
      </c>
    </row>
    <row r="268">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f>IF(AND(A268&lt;&gt;"Y",B268&lt;&gt;""),B268,"")</f>
        <v/>
      </c>
      <c r="Z268">
        <f>IF(AND(A268&lt;&gt;"Y",B268&lt;&gt;"",K268="C"),B268,"")</f>
        <v/>
      </c>
    </row>
    <row r="269">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f>IF(AND(A269&lt;&gt;"Y",B269&lt;&gt;""),B269,"")</f>
        <v/>
      </c>
      <c r="Z269">
        <f>IF(AND(A269&lt;&gt;"Y",B269&lt;&gt;"",K269="C"),B269,"")</f>
        <v/>
      </c>
    </row>
    <row r="270">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f>IF(AND(A270&lt;&gt;"Y",B270&lt;&gt;""),B270,"")</f>
        <v/>
      </c>
      <c r="Z270">
        <f>IF(AND(A270&lt;&gt;"Y",B270&lt;&gt;"",K270="C"),B270,"")</f>
        <v/>
      </c>
    </row>
    <row r="271">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f>IF(AND(A271&lt;&gt;"Y",B271&lt;&gt;""),B271,"")</f>
        <v/>
      </c>
      <c r="Z271">
        <f>IF(AND(A271&lt;&gt;"Y",B271&lt;&gt;"",K271="C"),B271,"")</f>
        <v/>
      </c>
    </row>
    <row r="272">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f>IF(AND(A272&lt;&gt;"Y",B272&lt;&gt;""),B272,"")</f>
        <v/>
      </c>
      <c r="Z272">
        <f>IF(AND(A272&lt;&gt;"Y",B272&lt;&gt;"",K272="C"),B272,"")</f>
        <v/>
      </c>
    </row>
    <row r="273">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f>IF(AND(A273&lt;&gt;"Y",B273&lt;&gt;""),B273,"")</f>
        <v/>
      </c>
      <c r="Z273">
        <f>IF(AND(A273&lt;&gt;"Y",B273&lt;&gt;"",K273="C"),B273,"")</f>
        <v/>
      </c>
    </row>
    <row r="274">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f>IF(AND(A274&lt;&gt;"Y",B274&lt;&gt;""),B274,"")</f>
        <v/>
      </c>
      <c r="Z274">
        <f>IF(AND(A274&lt;&gt;"Y",B274&lt;&gt;"",K274="C"),B274,"")</f>
        <v/>
      </c>
    </row>
    <row r="275">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f>IF(AND(A275&lt;&gt;"Y",B275&lt;&gt;""),B275,"")</f>
        <v/>
      </c>
      <c r="Z275">
        <f>IF(AND(A275&lt;&gt;"Y",B275&lt;&gt;"",K275="C"),B275,"")</f>
        <v/>
      </c>
    </row>
    <row r="276">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f>IF(AND(A276&lt;&gt;"Y",B276&lt;&gt;""),B276,"")</f>
        <v/>
      </c>
      <c r="Z276">
        <f>IF(AND(A276&lt;&gt;"Y",B276&lt;&gt;"",K276="C"),B276,"")</f>
        <v/>
      </c>
    </row>
    <row r="277">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f>IF(AND(A277&lt;&gt;"Y",B277&lt;&gt;""),B277,"")</f>
        <v/>
      </c>
      <c r="Z277">
        <f>IF(AND(A277&lt;&gt;"Y",B277&lt;&gt;"",K277="C"),B277,"")</f>
        <v/>
      </c>
    </row>
    <row r="278">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f>IF(AND(A278&lt;&gt;"Y",B278&lt;&gt;""),B278,"")</f>
        <v/>
      </c>
      <c r="Z278">
        <f>IF(AND(A278&lt;&gt;"Y",B278&lt;&gt;"",K278="C"),B278,"")</f>
        <v/>
      </c>
    </row>
    <row r="279">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f>IF(AND(A279&lt;&gt;"Y",B279&lt;&gt;""),B279,"")</f>
        <v/>
      </c>
      <c r="Z279">
        <f>IF(AND(A279&lt;&gt;"Y",B279&lt;&gt;"",K279="C"),B279,"")</f>
        <v/>
      </c>
    </row>
    <row r="280">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f>IF(AND(A280&lt;&gt;"Y",B280&lt;&gt;""),B280,"")</f>
        <v/>
      </c>
      <c r="Z280">
        <f>IF(AND(A280&lt;&gt;"Y",B280&lt;&gt;"",K280="C"),B280,"")</f>
        <v/>
      </c>
    </row>
    <row r="281">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f>IF(AND(A281&lt;&gt;"Y",B281&lt;&gt;""),B281,"")</f>
        <v/>
      </c>
      <c r="Z281">
        <f>IF(AND(A281&lt;&gt;"Y",B281&lt;&gt;"",K281="C"),B281,"")</f>
        <v/>
      </c>
    </row>
    <row r="282">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f>IF(AND(A282&lt;&gt;"Y",B282&lt;&gt;""),B282,"")</f>
        <v/>
      </c>
      <c r="Z282">
        <f>IF(AND(A282&lt;&gt;"Y",B282&lt;&gt;"",K282="C"),B282,"")</f>
        <v/>
      </c>
    </row>
    <row r="283">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f>IF(AND(A283&lt;&gt;"Y",B283&lt;&gt;""),B283,"")</f>
        <v/>
      </c>
      <c r="Z283">
        <f>IF(AND(A283&lt;&gt;"Y",B283&lt;&gt;"",K283="C"),B283,"")</f>
        <v/>
      </c>
    </row>
    <row r="284">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f>IF(AND(A284&lt;&gt;"Y",B284&lt;&gt;""),B284,"")</f>
        <v/>
      </c>
      <c r="Z284">
        <f>IF(AND(A284&lt;&gt;"Y",B284&lt;&gt;"",K284="C"),B284,"")</f>
        <v/>
      </c>
    </row>
    <row r="285">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f>IF(AND(A285&lt;&gt;"Y",B285&lt;&gt;""),B285,"")</f>
        <v/>
      </c>
      <c r="Z285">
        <f>IF(AND(A285&lt;&gt;"Y",B285&lt;&gt;"",K285="C"),B285,"")</f>
        <v/>
      </c>
    </row>
    <row r="286">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f>IF(AND(A286&lt;&gt;"Y",B286&lt;&gt;""),B286,"")</f>
        <v/>
      </c>
      <c r="Z286">
        <f>IF(AND(A286&lt;&gt;"Y",B286&lt;&gt;"",K286="C"),B286,"")</f>
        <v/>
      </c>
    </row>
    <row r="287">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f>IF(AND(A287&lt;&gt;"Y",B287&lt;&gt;""),B287,"")</f>
        <v/>
      </c>
      <c r="Z287">
        <f>IF(AND(A287&lt;&gt;"Y",B287&lt;&gt;"",K287="C"),B287,"")</f>
        <v/>
      </c>
    </row>
    <row r="288">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f>IF(AND(A288&lt;&gt;"Y",B288&lt;&gt;""),B288,"")</f>
        <v/>
      </c>
      <c r="Z288">
        <f>IF(AND(A288&lt;&gt;"Y",B288&lt;&gt;"",K288="C"),B288,"")</f>
        <v/>
      </c>
    </row>
    <row r="289">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f>IF(AND(A289&lt;&gt;"Y",B289&lt;&gt;""),B289,"")</f>
        <v/>
      </c>
      <c r="Z289">
        <f>IF(AND(A289&lt;&gt;"Y",B289&lt;&gt;"",K289="C"),B289,"")</f>
        <v/>
      </c>
    </row>
    <row r="290">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f>IF(AND(A290&lt;&gt;"Y",B290&lt;&gt;""),B290,"")</f>
        <v/>
      </c>
      <c r="Z290">
        <f>IF(AND(A290&lt;&gt;"Y",B290&lt;&gt;"",K290="C"),B290,"")</f>
        <v/>
      </c>
    </row>
    <row r="29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f>IF(AND(A291&lt;&gt;"Y",B291&lt;&gt;""),B291,"")</f>
        <v/>
      </c>
      <c r="Z291">
        <f>IF(AND(A291&lt;&gt;"Y",B291&lt;&gt;"",K291="C"),B291,"")</f>
        <v/>
      </c>
    </row>
    <row r="292">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f>IF(AND(A292&lt;&gt;"Y",B292&lt;&gt;""),B292,"")</f>
        <v/>
      </c>
      <c r="Z292">
        <f>IF(AND(A292&lt;&gt;"Y",B292&lt;&gt;"",K292="C"),B292,"")</f>
        <v/>
      </c>
    </row>
    <row r="293">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f>IF(AND(A293&lt;&gt;"Y",B293&lt;&gt;""),B293,"")</f>
        <v/>
      </c>
      <c r="Z293">
        <f>IF(AND(A293&lt;&gt;"Y",B293&lt;&gt;"",K293="C"),B293,"")</f>
        <v/>
      </c>
    </row>
    <row r="294">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f>IF(AND(A294&lt;&gt;"Y",B294&lt;&gt;""),B294,"")</f>
        <v/>
      </c>
      <c r="Z294">
        <f>IF(AND(A294&lt;&gt;"Y",B294&lt;&gt;"",K294="C"),B294,"")</f>
        <v/>
      </c>
    </row>
    <row r="295">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f>IF(AND(A295&lt;&gt;"Y",B295&lt;&gt;""),B295,"")</f>
        <v/>
      </c>
      <c r="Z295">
        <f>IF(AND(A295&lt;&gt;"Y",B295&lt;&gt;"",K295="C"),B295,"")</f>
        <v/>
      </c>
    </row>
    <row r="296">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f>IF(AND(A296&lt;&gt;"Y",B296&lt;&gt;""),B296,"")</f>
        <v/>
      </c>
      <c r="Z296">
        <f>IF(AND(A296&lt;&gt;"Y",B296&lt;&gt;"",K296="C"),B296,"")</f>
        <v/>
      </c>
    </row>
    <row r="297">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f>IF(AND(A297&lt;&gt;"Y",B297&lt;&gt;""),B297,"")</f>
        <v/>
      </c>
      <c r="Z297">
        <f>IF(AND(A297&lt;&gt;"Y",B297&lt;&gt;"",K297="C"),B297,"")</f>
        <v/>
      </c>
    </row>
    <row r="298">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f>IF(AND(A298&lt;&gt;"Y",B298&lt;&gt;""),B298,"")</f>
        <v/>
      </c>
      <c r="Z298">
        <f>IF(AND(A298&lt;&gt;"Y",B298&lt;&gt;"",K298="C"),B298,"")</f>
        <v/>
      </c>
    </row>
    <row r="299">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f>IF(AND(A299&lt;&gt;"Y",B299&lt;&gt;""),B299,"")</f>
        <v/>
      </c>
      <c r="Z299">
        <f>IF(AND(A299&lt;&gt;"Y",B299&lt;&gt;"",K299="C"),B299,"")</f>
        <v/>
      </c>
    </row>
    <row r="300">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f>IF(AND(A300&lt;&gt;"Y",B300&lt;&gt;""),B300,"")</f>
        <v/>
      </c>
      <c r="Z300">
        <f>IF(AND(A300&lt;&gt;"Y",B300&lt;&gt;"",K300="C"),B300,"")</f>
        <v/>
      </c>
    </row>
    <row r="301">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f>IF(AND(A301&lt;&gt;"Y",B301&lt;&gt;""),B301,"")</f>
        <v/>
      </c>
      <c r="Z301">
        <f>IF(AND(A301&lt;&gt;"Y",B301&lt;&gt;"",K301="C"),B301,"")</f>
        <v/>
      </c>
    </row>
    <row r="302">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f>IF(AND(A302&lt;&gt;"Y",B302&lt;&gt;""),B302,"")</f>
        <v/>
      </c>
      <c r="Z302">
        <f>IF(AND(A302&lt;&gt;"Y",B302&lt;&gt;"",K302="C"),B302,"")</f>
        <v/>
      </c>
    </row>
    <row r="303">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f>IF(AND(A303&lt;&gt;"Y",B303&lt;&gt;""),B303,"")</f>
        <v/>
      </c>
      <c r="Z303">
        <f>IF(AND(A303&lt;&gt;"Y",B303&lt;&gt;"",K303="C"),B303,"")</f>
        <v/>
      </c>
    </row>
    <row r="304">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f>IF(AND(A304&lt;&gt;"Y",B304&lt;&gt;""),B304,"")</f>
        <v/>
      </c>
      <c r="Z304">
        <f>IF(AND(A304&lt;&gt;"Y",B304&lt;&gt;"",K304="C"),B304,"")</f>
        <v/>
      </c>
    </row>
    <row r="305">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f>IF(AND(A305&lt;&gt;"Y",B305&lt;&gt;""),B305,"")</f>
        <v/>
      </c>
      <c r="Z305">
        <f>IF(AND(A305&lt;&gt;"Y",B305&lt;&gt;"",K305="C"),B305,"")</f>
        <v/>
      </c>
    </row>
    <row r="306">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f>IF(AND(A306&lt;&gt;"Y",B306&lt;&gt;""),B306,"")</f>
        <v/>
      </c>
      <c r="Z306">
        <f>IF(AND(A306&lt;&gt;"Y",B306&lt;&gt;"",K306="C"),B306,"")</f>
        <v/>
      </c>
    </row>
    <row r="307">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f>IF(AND(A307&lt;&gt;"Y",B307&lt;&gt;""),B307,"")</f>
        <v/>
      </c>
      <c r="Z307">
        <f>IF(AND(A307&lt;&gt;"Y",B307&lt;&gt;"",K307="C"),B307,"")</f>
        <v/>
      </c>
    </row>
    <row r="308">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f>IF(AND(A308&lt;&gt;"Y",B308&lt;&gt;""),B308,"")</f>
        <v/>
      </c>
      <c r="Z308">
        <f>IF(AND(A308&lt;&gt;"Y",B308&lt;&gt;"",K308="C"),B308,"")</f>
        <v/>
      </c>
    </row>
    <row r="309">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f>IF(AND(A309&lt;&gt;"Y",B309&lt;&gt;""),B309,"")</f>
        <v/>
      </c>
      <c r="Z309">
        <f>IF(AND(A309&lt;&gt;"Y",B309&lt;&gt;"",K309="C"),B309,"")</f>
        <v/>
      </c>
    </row>
    <row r="310">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f>IF(AND(A310&lt;&gt;"Y",B310&lt;&gt;""),B310,"")</f>
        <v/>
      </c>
      <c r="Z310">
        <f>IF(AND(A310&lt;&gt;"Y",B310&lt;&gt;"",K310="C"),B310,"")</f>
        <v/>
      </c>
    </row>
    <row r="311">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f>IF(AND(A311&lt;&gt;"Y",B311&lt;&gt;""),B311,"")</f>
        <v/>
      </c>
      <c r="Z311">
        <f>IF(AND(A311&lt;&gt;"Y",B311&lt;&gt;"",K311="C"),B311,"")</f>
        <v/>
      </c>
    </row>
    <row r="312">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f>IF(AND(A312&lt;&gt;"Y",B312&lt;&gt;""),B312,"")</f>
        <v/>
      </c>
      <c r="Z312">
        <f>IF(AND(A312&lt;&gt;"Y",B312&lt;&gt;"",K312="C"),B312,"")</f>
        <v/>
      </c>
    </row>
    <row r="313">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f>IF(AND(A313&lt;&gt;"Y",B313&lt;&gt;""),B313,"")</f>
        <v/>
      </c>
      <c r="Z313">
        <f>IF(AND(A313&lt;&gt;"Y",B313&lt;&gt;"",K313="C"),B313,"")</f>
        <v/>
      </c>
    </row>
    <row r="314">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f>IF(AND(A314&lt;&gt;"Y",B314&lt;&gt;""),B314,"")</f>
        <v/>
      </c>
      <c r="Z314">
        <f>IF(AND(A314&lt;&gt;"Y",B314&lt;&gt;"",K314="C"),B314,"")</f>
        <v/>
      </c>
    </row>
    <row r="315">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f>IF(AND(A315&lt;&gt;"Y",B315&lt;&gt;""),B315,"")</f>
        <v/>
      </c>
      <c r="Z315">
        <f>IF(AND(A315&lt;&gt;"Y",B315&lt;&gt;"",K315="C"),B315,"")</f>
        <v/>
      </c>
    </row>
    <row r="316">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f>IF(AND(A316&lt;&gt;"Y",B316&lt;&gt;""),B316,"")</f>
        <v/>
      </c>
      <c r="Z316">
        <f>IF(AND(A316&lt;&gt;"Y",B316&lt;&gt;"",K316="C"),B316,"")</f>
        <v/>
      </c>
    </row>
    <row r="317">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f>IF(AND(A317&lt;&gt;"Y",B317&lt;&gt;""),B317,"")</f>
        <v/>
      </c>
      <c r="Z317">
        <f>IF(AND(A317&lt;&gt;"Y",B317&lt;&gt;"",K317="C"),B317,"")</f>
        <v/>
      </c>
    </row>
    <row r="318">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f>IF(AND(A318&lt;&gt;"Y",B318&lt;&gt;""),B318,"")</f>
        <v/>
      </c>
      <c r="Z318">
        <f>IF(AND(A318&lt;&gt;"Y",B318&lt;&gt;"",K318="C"),B318,"")</f>
        <v/>
      </c>
    </row>
    <row r="319">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f>IF(AND(A319&lt;&gt;"Y",B319&lt;&gt;""),B319,"")</f>
        <v/>
      </c>
      <c r="Z319">
        <f>IF(AND(A319&lt;&gt;"Y",B319&lt;&gt;"",K319="C"),B319,"")</f>
        <v/>
      </c>
    </row>
    <row r="320">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f>IF(AND(A320&lt;&gt;"Y",B320&lt;&gt;""),B320,"")</f>
        <v/>
      </c>
      <c r="Z320">
        <f>IF(AND(A320&lt;&gt;"Y",B320&lt;&gt;"",K320="C"),B320,"")</f>
        <v/>
      </c>
    </row>
    <row r="321">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f>IF(AND(A321&lt;&gt;"Y",B321&lt;&gt;""),B321,"")</f>
        <v/>
      </c>
      <c r="Z321">
        <f>IF(AND(A321&lt;&gt;"Y",B321&lt;&gt;"",K321="C"),B321,"")</f>
        <v/>
      </c>
    </row>
    <row r="322">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f>IF(AND(A322&lt;&gt;"Y",B322&lt;&gt;""),B322,"")</f>
        <v/>
      </c>
      <c r="Z322">
        <f>IF(AND(A322&lt;&gt;"Y",B322&lt;&gt;"",K322="C"),B322,"")</f>
        <v/>
      </c>
    </row>
    <row r="323">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f>IF(AND(A323&lt;&gt;"Y",B323&lt;&gt;""),B323,"")</f>
        <v/>
      </c>
      <c r="Z323">
        <f>IF(AND(A323&lt;&gt;"Y",B323&lt;&gt;"",K323="C"),B323,"")</f>
        <v/>
      </c>
    </row>
    <row r="324">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f>IF(AND(A324&lt;&gt;"Y",B324&lt;&gt;""),B324,"")</f>
        <v/>
      </c>
      <c r="Z324">
        <f>IF(AND(A324&lt;&gt;"Y",B324&lt;&gt;"",K324="C"),B324,"")</f>
        <v/>
      </c>
    </row>
    <row r="325">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f>IF(AND(A325&lt;&gt;"Y",B325&lt;&gt;""),B325,"")</f>
        <v/>
      </c>
      <c r="Z325">
        <f>IF(AND(A325&lt;&gt;"Y",B325&lt;&gt;"",K325="C"),B325,"")</f>
        <v/>
      </c>
    </row>
    <row r="326">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f>IF(AND(A326&lt;&gt;"Y",B326&lt;&gt;""),B326,"")</f>
        <v/>
      </c>
      <c r="Z326">
        <f>IF(AND(A326&lt;&gt;"Y",B326&lt;&gt;"",K326="C"),B326,"")</f>
        <v/>
      </c>
    </row>
    <row r="327">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f>IF(AND(A327&lt;&gt;"Y",B327&lt;&gt;""),B327,"")</f>
        <v/>
      </c>
      <c r="Z327">
        <f>IF(AND(A327&lt;&gt;"Y",B327&lt;&gt;"",K327="C"),B327,"")</f>
        <v/>
      </c>
    </row>
    <row r="328">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f>IF(AND(A328&lt;&gt;"Y",B328&lt;&gt;""),B328,"")</f>
        <v/>
      </c>
      <c r="Z328">
        <f>IF(AND(A328&lt;&gt;"Y",B328&lt;&gt;"",K328="C"),B328,"")</f>
        <v/>
      </c>
    </row>
    <row r="329">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f>IF(AND(A329&lt;&gt;"Y",B329&lt;&gt;""),B329,"")</f>
        <v/>
      </c>
      <c r="Z329">
        <f>IF(AND(A329&lt;&gt;"Y",B329&lt;&gt;"",K329="C"),B329,"")</f>
        <v/>
      </c>
    </row>
    <row r="330">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f>IF(AND(A330&lt;&gt;"Y",B330&lt;&gt;""),B330,"")</f>
        <v/>
      </c>
      <c r="Z330">
        <f>IF(AND(A330&lt;&gt;"Y",B330&lt;&gt;"",K330="C"),B330,"")</f>
        <v/>
      </c>
    </row>
    <row r="331">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f>IF(AND(A331&lt;&gt;"Y",B331&lt;&gt;""),B331,"")</f>
        <v/>
      </c>
      <c r="Z331">
        <f>IF(AND(A331&lt;&gt;"Y",B331&lt;&gt;"",K331="C"),B331,"")</f>
        <v/>
      </c>
    </row>
    <row r="332">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f>IF(AND(A332&lt;&gt;"Y",B332&lt;&gt;""),B332,"")</f>
        <v/>
      </c>
      <c r="Z332">
        <f>IF(AND(A332&lt;&gt;"Y",B332&lt;&gt;"",K332="C"),B332,"")</f>
        <v/>
      </c>
    </row>
    <row r="333">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f>IF(AND(A333&lt;&gt;"Y",B333&lt;&gt;""),B333,"")</f>
        <v/>
      </c>
      <c r="Z333">
        <f>IF(AND(A333&lt;&gt;"Y",B333&lt;&gt;"",K333="C"),B333,"")</f>
        <v/>
      </c>
    </row>
    <row r="334">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f>IF(AND(A334&lt;&gt;"Y",B334&lt;&gt;""),B334,"")</f>
        <v/>
      </c>
      <c r="Z334">
        <f>IF(AND(A334&lt;&gt;"Y",B334&lt;&gt;"",K334="C"),B334,"")</f>
        <v/>
      </c>
    </row>
    <row r="335">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f>IF(AND(A335&lt;&gt;"Y",B335&lt;&gt;""),B335,"")</f>
        <v/>
      </c>
      <c r="Z335">
        <f>IF(AND(A335&lt;&gt;"Y",B335&lt;&gt;"",K335="C"),B335,"")</f>
        <v/>
      </c>
    </row>
    <row r="336">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f>IF(AND(A336&lt;&gt;"Y",B336&lt;&gt;""),B336,"")</f>
        <v/>
      </c>
      <c r="Z336">
        <f>IF(AND(A336&lt;&gt;"Y",B336&lt;&gt;"",K336="C"),B336,"")</f>
        <v/>
      </c>
    </row>
    <row r="337">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f>IF(AND(A337&lt;&gt;"Y",B337&lt;&gt;""),B337,"")</f>
        <v/>
      </c>
      <c r="Z337">
        <f>IF(AND(A337&lt;&gt;"Y",B337&lt;&gt;"",K337="C"),B337,"")</f>
        <v/>
      </c>
    </row>
    <row r="338">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f>IF(AND(A338&lt;&gt;"Y",B338&lt;&gt;""),B338,"")</f>
        <v/>
      </c>
      <c r="Z338">
        <f>IF(AND(A338&lt;&gt;"Y",B338&lt;&gt;"",K338="C"),B338,"")</f>
        <v/>
      </c>
    </row>
    <row r="339">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f>IF(AND(A339&lt;&gt;"Y",B339&lt;&gt;""),B339,"")</f>
        <v/>
      </c>
      <c r="Z339">
        <f>IF(AND(A339&lt;&gt;"Y",B339&lt;&gt;"",K339="C"),B339,"")</f>
        <v/>
      </c>
    </row>
    <row r="340">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f>IF(AND(A340&lt;&gt;"Y",B340&lt;&gt;""),B340,"")</f>
        <v/>
      </c>
      <c r="Z340">
        <f>IF(AND(A340&lt;&gt;"Y",B340&lt;&gt;"",K340="C"),B340,"")</f>
        <v/>
      </c>
    </row>
    <row r="34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f>IF(AND(A341&lt;&gt;"Y",B341&lt;&gt;""),B341,"")</f>
        <v/>
      </c>
      <c r="Z341">
        <f>IF(AND(A341&lt;&gt;"Y",B341&lt;&gt;"",K341="C"),B341,"")</f>
        <v/>
      </c>
    </row>
    <row r="342">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f>IF(AND(A342&lt;&gt;"Y",B342&lt;&gt;""),B342,"")</f>
        <v/>
      </c>
      <c r="Z342">
        <f>IF(AND(A342&lt;&gt;"Y",B342&lt;&gt;"",K342="C"),B342,"")</f>
        <v/>
      </c>
    </row>
    <row r="343">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f>IF(AND(A343&lt;&gt;"Y",B343&lt;&gt;""),B343,"")</f>
        <v/>
      </c>
      <c r="Z343">
        <f>IF(AND(A343&lt;&gt;"Y",B343&lt;&gt;"",K343="C"),B343,"")</f>
        <v/>
      </c>
    </row>
    <row r="344">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f>IF(AND(A344&lt;&gt;"Y",B344&lt;&gt;""),B344,"")</f>
        <v/>
      </c>
      <c r="Z344">
        <f>IF(AND(A344&lt;&gt;"Y",B344&lt;&gt;"",K344="C"),B344,"")</f>
        <v/>
      </c>
    </row>
    <row r="345">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f>IF(AND(A345&lt;&gt;"Y",B345&lt;&gt;""),B345,"")</f>
        <v/>
      </c>
      <c r="Z345">
        <f>IF(AND(A345&lt;&gt;"Y",B345&lt;&gt;"",K345="C"),B345,"")</f>
        <v/>
      </c>
    </row>
    <row r="346">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f>IF(AND(A346&lt;&gt;"Y",B346&lt;&gt;""),B346,"")</f>
        <v/>
      </c>
      <c r="Z346">
        <f>IF(AND(A346&lt;&gt;"Y",B346&lt;&gt;"",K346="C"),B346,"")</f>
        <v/>
      </c>
    </row>
    <row r="347">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f>IF(AND(A347&lt;&gt;"Y",B347&lt;&gt;""),B347,"")</f>
        <v/>
      </c>
      <c r="Z347">
        <f>IF(AND(A347&lt;&gt;"Y",B347&lt;&gt;"",K347="C"),B347,"")</f>
        <v/>
      </c>
    </row>
    <row r="348">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f>IF(AND(A348&lt;&gt;"Y",B348&lt;&gt;""),B348,"")</f>
        <v/>
      </c>
      <c r="Z348">
        <f>IF(AND(A348&lt;&gt;"Y",B348&lt;&gt;"",K348="C"),B348,"")</f>
        <v/>
      </c>
    </row>
    <row r="349">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f>IF(AND(A349&lt;&gt;"Y",B349&lt;&gt;""),B349,"")</f>
        <v/>
      </c>
      <c r="Z349">
        <f>IF(AND(A349&lt;&gt;"Y",B349&lt;&gt;"",K349="C"),B349,"")</f>
        <v/>
      </c>
    </row>
    <row r="350">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f>IF(AND(A350&lt;&gt;"Y",B350&lt;&gt;""),B350,"")</f>
        <v/>
      </c>
      <c r="Z350">
        <f>IF(AND(A350&lt;&gt;"Y",B350&lt;&gt;"",K350="C"),B350,"")</f>
        <v/>
      </c>
    </row>
    <row r="351">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f>IF(AND(A351&lt;&gt;"Y",B351&lt;&gt;""),B351,"")</f>
        <v/>
      </c>
      <c r="Z351">
        <f>IF(AND(A351&lt;&gt;"Y",B351&lt;&gt;"",K351="C"),B351,"")</f>
        <v/>
      </c>
    </row>
    <row r="352">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f>IF(AND(A352&lt;&gt;"Y",B352&lt;&gt;""),B352,"")</f>
        <v/>
      </c>
      <c r="Z352">
        <f>IF(AND(A352&lt;&gt;"Y",B352&lt;&gt;"",K352="C"),B352,"")</f>
        <v/>
      </c>
    </row>
    <row r="353">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f>IF(AND(A353&lt;&gt;"Y",B353&lt;&gt;""),B353,"")</f>
        <v/>
      </c>
      <c r="Z353">
        <f>IF(AND(A353&lt;&gt;"Y",B353&lt;&gt;"",K353="C"),B353,"")</f>
        <v/>
      </c>
    </row>
    <row r="354">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f>IF(AND(A354&lt;&gt;"Y",B354&lt;&gt;""),B354,"")</f>
        <v/>
      </c>
      <c r="Z354">
        <f>IF(AND(A354&lt;&gt;"Y",B354&lt;&gt;"",K354="C"),B354,"")</f>
        <v/>
      </c>
    </row>
    <row r="355">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f>IF(AND(A355&lt;&gt;"Y",B355&lt;&gt;""),B355,"")</f>
        <v/>
      </c>
      <c r="Z355">
        <f>IF(AND(A355&lt;&gt;"Y",B355&lt;&gt;"",K355="C"),B355,"")</f>
        <v/>
      </c>
    </row>
    <row r="356">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f>IF(AND(A356&lt;&gt;"Y",B356&lt;&gt;""),B356,"")</f>
        <v/>
      </c>
      <c r="Z356">
        <f>IF(AND(A356&lt;&gt;"Y",B356&lt;&gt;"",K356="C"),B356,"")</f>
        <v/>
      </c>
    </row>
    <row r="357">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f>IF(AND(A357&lt;&gt;"Y",B357&lt;&gt;""),B357,"")</f>
        <v/>
      </c>
      <c r="Z357">
        <f>IF(AND(A357&lt;&gt;"Y",B357&lt;&gt;"",K357="C"),B357,"")</f>
        <v/>
      </c>
    </row>
    <row r="358">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f>IF(AND(A358&lt;&gt;"Y",B358&lt;&gt;""),B358,"")</f>
        <v/>
      </c>
      <c r="Z358">
        <f>IF(AND(A358&lt;&gt;"Y",B358&lt;&gt;"",K358="C"),B358,"")</f>
        <v/>
      </c>
    </row>
    <row r="359">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f>IF(AND(A359&lt;&gt;"Y",B359&lt;&gt;""),B359,"")</f>
        <v/>
      </c>
      <c r="Z359">
        <f>IF(AND(A359&lt;&gt;"Y",B359&lt;&gt;"",K359="C"),B359,"")</f>
        <v/>
      </c>
    </row>
    <row r="360">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f>IF(AND(A360&lt;&gt;"Y",B360&lt;&gt;""),B360,"")</f>
        <v/>
      </c>
      <c r="Z360">
        <f>IF(AND(A360&lt;&gt;"Y",B360&lt;&gt;"",K360="C"),B360,"")</f>
        <v/>
      </c>
    </row>
    <row r="36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f>IF(AND(A361&lt;&gt;"Y",B361&lt;&gt;""),B361,"")</f>
        <v/>
      </c>
      <c r="Z361">
        <f>IF(AND(A361&lt;&gt;"Y",B361&lt;&gt;"",K361="C"),B361,"")</f>
        <v/>
      </c>
    </row>
    <row r="362">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f>IF(AND(A362&lt;&gt;"Y",B362&lt;&gt;""),B362,"")</f>
        <v/>
      </c>
      <c r="Z362">
        <f>IF(AND(A362&lt;&gt;"Y",B362&lt;&gt;"",K362="C"),B362,"")</f>
        <v/>
      </c>
    </row>
    <row r="363">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f>IF(AND(A363&lt;&gt;"Y",B363&lt;&gt;""),B363,"")</f>
        <v/>
      </c>
      <c r="Z363">
        <f>IF(AND(A363&lt;&gt;"Y",B363&lt;&gt;"",K363="C"),B363,"")</f>
        <v/>
      </c>
    </row>
    <row r="364">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f>IF(AND(A364&lt;&gt;"Y",B364&lt;&gt;""),B364,"")</f>
        <v/>
      </c>
      <c r="Z364">
        <f>IF(AND(A364&lt;&gt;"Y",B364&lt;&gt;"",K364="C"),B364,"")</f>
        <v/>
      </c>
    </row>
    <row r="365">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f>IF(AND(A365&lt;&gt;"Y",B365&lt;&gt;""),B365,"")</f>
        <v/>
      </c>
      <c r="Z365">
        <f>IF(AND(A365&lt;&gt;"Y",B365&lt;&gt;"",K365="C"),B365,"")</f>
        <v/>
      </c>
    </row>
    <row r="366">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f>IF(AND(A366&lt;&gt;"Y",B366&lt;&gt;""),B366,"")</f>
        <v/>
      </c>
      <c r="Z366">
        <f>IF(AND(A366&lt;&gt;"Y",B366&lt;&gt;"",K366="C"),B366,"")</f>
        <v/>
      </c>
    </row>
    <row r="367">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f>IF(AND(A367&lt;&gt;"Y",B367&lt;&gt;""),B367,"")</f>
        <v/>
      </c>
      <c r="Z367">
        <f>IF(AND(A367&lt;&gt;"Y",B367&lt;&gt;"",K367="C"),B367,"")</f>
        <v/>
      </c>
    </row>
    <row r="368">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f>IF(AND(A368&lt;&gt;"Y",B368&lt;&gt;""),B368,"")</f>
        <v/>
      </c>
      <c r="Z368">
        <f>IF(AND(A368&lt;&gt;"Y",B368&lt;&gt;"",K368="C"),B368,"")</f>
        <v/>
      </c>
    </row>
    <row r="369">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f>IF(AND(A369&lt;&gt;"Y",B369&lt;&gt;""),B369,"")</f>
        <v/>
      </c>
      <c r="Z369">
        <f>IF(AND(A369&lt;&gt;"Y",B369&lt;&gt;"",K369="C"),B369,"")</f>
        <v/>
      </c>
    </row>
    <row r="370">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f>IF(AND(A370&lt;&gt;"Y",B370&lt;&gt;""),B370,"")</f>
        <v/>
      </c>
      <c r="Z370">
        <f>IF(AND(A370&lt;&gt;"Y",B370&lt;&gt;"",K370="C"),B370,"")</f>
        <v/>
      </c>
    </row>
    <row r="37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f>IF(AND(A371&lt;&gt;"Y",B371&lt;&gt;""),B371,"")</f>
        <v/>
      </c>
      <c r="Z371">
        <f>IF(AND(A371&lt;&gt;"Y",B371&lt;&gt;"",K371="C"),B371,"")</f>
        <v/>
      </c>
    </row>
    <row r="372">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f>IF(AND(A372&lt;&gt;"Y",B372&lt;&gt;""),B372,"")</f>
        <v/>
      </c>
      <c r="Z372">
        <f>IF(AND(A372&lt;&gt;"Y",B372&lt;&gt;"",K372="C"),B372,"")</f>
        <v/>
      </c>
    </row>
    <row r="373">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f>IF(AND(A373&lt;&gt;"Y",B373&lt;&gt;""),B373,"")</f>
        <v/>
      </c>
      <c r="Z373">
        <f>IF(AND(A373&lt;&gt;"Y",B373&lt;&gt;"",K373="C"),B373,"")</f>
        <v/>
      </c>
    </row>
    <row r="374">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f>IF(AND(A374&lt;&gt;"Y",B374&lt;&gt;""),B374,"")</f>
        <v/>
      </c>
      <c r="Z374">
        <f>IF(AND(A374&lt;&gt;"Y",B374&lt;&gt;"",K374="C"),B374,"")</f>
        <v/>
      </c>
    </row>
    <row r="375">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f>IF(AND(A375&lt;&gt;"Y",B375&lt;&gt;""),B375,"")</f>
        <v/>
      </c>
      <c r="Z375">
        <f>IF(AND(A375&lt;&gt;"Y",B375&lt;&gt;"",K375="C"),B375,"")</f>
        <v/>
      </c>
    </row>
    <row r="376">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f>IF(AND(A376&lt;&gt;"Y",B376&lt;&gt;""),B376,"")</f>
        <v/>
      </c>
      <c r="Z376">
        <f>IF(AND(A376&lt;&gt;"Y",B376&lt;&gt;"",K376="C"),B376,"")</f>
        <v/>
      </c>
    </row>
    <row r="377">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f>IF(AND(A377&lt;&gt;"Y",B377&lt;&gt;""),B377,"")</f>
        <v/>
      </c>
      <c r="Z377">
        <f>IF(AND(A377&lt;&gt;"Y",B377&lt;&gt;"",K377="C"),B377,"")</f>
        <v/>
      </c>
    </row>
    <row r="378">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f>IF(AND(A378&lt;&gt;"Y",B378&lt;&gt;""),B378,"")</f>
        <v/>
      </c>
      <c r="Z378">
        <f>IF(AND(A378&lt;&gt;"Y",B378&lt;&gt;"",K378="C"),B378,"")</f>
        <v/>
      </c>
    </row>
    <row r="379">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f>IF(AND(A379&lt;&gt;"Y",B379&lt;&gt;""),B379,"")</f>
        <v/>
      </c>
      <c r="Z379">
        <f>IF(AND(A379&lt;&gt;"Y",B379&lt;&gt;"",K379="C"),B379,"")</f>
        <v/>
      </c>
    </row>
    <row r="380">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f>IF(AND(A380&lt;&gt;"Y",B380&lt;&gt;""),B380,"")</f>
        <v/>
      </c>
      <c r="Z380">
        <f>IF(AND(A380&lt;&gt;"Y",B380&lt;&gt;"",K380="C"),B380,"")</f>
        <v/>
      </c>
    </row>
    <row r="38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f>IF(AND(A381&lt;&gt;"Y",B381&lt;&gt;""),B381,"")</f>
        <v/>
      </c>
      <c r="Z381">
        <f>IF(AND(A381&lt;&gt;"Y",B381&lt;&gt;"",K381="C"),B381,"")</f>
        <v/>
      </c>
    </row>
    <row r="382">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f>IF(AND(A382&lt;&gt;"Y",B382&lt;&gt;""),B382,"")</f>
        <v/>
      </c>
      <c r="Z382">
        <f>IF(AND(A382&lt;&gt;"Y",B382&lt;&gt;"",K382="C"),B382,"")</f>
        <v/>
      </c>
    </row>
    <row r="383">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f>IF(AND(A383&lt;&gt;"Y",B383&lt;&gt;""),B383,"")</f>
        <v/>
      </c>
      <c r="Z383">
        <f>IF(AND(A383&lt;&gt;"Y",B383&lt;&gt;"",K383="C"),B383,"")</f>
        <v/>
      </c>
    </row>
    <row r="384">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f>IF(AND(A384&lt;&gt;"Y",B384&lt;&gt;""),B384,"")</f>
        <v/>
      </c>
      <c r="Z384">
        <f>IF(AND(A384&lt;&gt;"Y",B384&lt;&gt;"",K384="C"),B384,"")</f>
        <v/>
      </c>
    </row>
    <row r="385">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f>IF(AND(A385&lt;&gt;"Y",B385&lt;&gt;""),B385,"")</f>
        <v/>
      </c>
      <c r="Z385">
        <f>IF(AND(A385&lt;&gt;"Y",B385&lt;&gt;"",K385="C"),B385,"")</f>
        <v/>
      </c>
    </row>
    <row r="386">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f>IF(AND(A386&lt;&gt;"Y",B386&lt;&gt;""),B386,"")</f>
        <v/>
      </c>
      <c r="Z386">
        <f>IF(AND(A386&lt;&gt;"Y",B386&lt;&gt;"",K386="C"),B386,"")</f>
        <v/>
      </c>
    </row>
    <row r="387">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f>IF(AND(A387&lt;&gt;"Y",B387&lt;&gt;""),B387,"")</f>
        <v/>
      </c>
      <c r="Z387">
        <f>IF(AND(A387&lt;&gt;"Y",B387&lt;&gt;"",K387="C"),B387,"")</f>
        <v/>
      </c>
    </row>
    <row r="388">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f>IF(AND(A388&lt;&gt;"Y",B388&lt;&gt;""),B388,"")</f>
        <v/>
      </c>
      <c r="Z388">
        <f>IF(AND(A388&lt;&gt;"Y",B388&lt;&gt;"",K388="C"),B388,"")</f>
        <v/>
      </c>
    </row>
    <row r="389">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f>IF(AND(A389&lt;&gt;"Y",B389&lt;&gt;""),B389,"")</f>
        <v/>
      </c>
      <c r="Z389">
        <f>IF(AND(A389&lt;&gt;"Y",B389&lt;&gt;"",K389="C"),B389,"")</f>
        <v/>
      </c>
    </row>
    <row r="390">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f>IF(AND(A390&lt;&gt;"Y",B390&lt;&gt;""),B390,"")</f>
        <v/>
      </c>
      <c r="Z390">
        <f>IF(AND(A390&lt;&gt;"Y",B390&lt;&gt;"",K390="C"),B390,"")</f>
        <v/>
      </c>
    </row>
    <row r="391">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f>IF(AND(A391&lt;&gt;"Y",B391&lt;&gt;""),B391,"")</f>
        <v/>
      </c>
      <c r="Z391">
        <f>IF(AND(A391&lt;&gt;"Y",B391&lt;&gt;"",K391="C"),B391,"")</f>
        <v/>
      </c>
    </row>
    <row r="392">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f>IF(AND(A392&lt;&gt;"Y",B392&lt;&gt;""),B392,"")</f>
        <v/>
      </c>
      <c r="Z392">
        <f>IF(AND(A392&lt;&gt;"Y",B392&lt;&gt;"",K392="C"),B392,"")</f>
        <v/>
      </c>
    </row>
    <row r="393">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f>IF(AND(A393&lt;&gt;"Y",B393&lt;&gt;""),B393,"")</f>
        <v/>
      </c>
      <c r="Z393">
        <f>IF(AND(A393&lt;&gt;"Y",B393&lt;&gt;"",K393="C"),B393,"")</f>
        <v/>
      </c>
    </row>
    <row r="394">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f>IF(AND(A394&lt;&gt;"Y",B394&lt;&gt;""),B394,"")</f>
        <v/>
      </c>
      <c r="Z394">
        <f>IF(AND(A394&lt;&gt;"Y",B394&lt;&gt;"",K394="C"),B394,"")</f>
        <v/>
      </c>
    </row>
    <row r="395">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f>IF(AND(A395&lt;&gt;"Y",B395&lt;&gt;""),B395,"")</f>
        <v/>
      </c>
      <c r="Z395">
        <f>IF(AND(A395&lt;&gt;"Y",B395&lt;&gt;"",K395="C"),B395,"")</f>
        <v/>
      </c>
    </row>
    <row r="396">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f>IF(AND(A396&lt;&gt;"Y",B396&lt;&gt;""),B396,"")</f>
        <v/>
      </c>
      <c r="Z396">
        <f>IF(AND(A396&lt;&gt;"Y",B396&lt;&gt;"",K396="C"),B396,"")</f>
        <v/>
      </c>
    </row>
    <row r="397">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f>IF(AND(A397&lt;&gt;"Y",B397&lt;&gt;""),B397,"")</f>
        <v/>
      </c>
      <c r="Z397">
        <f>IF(AND(A397&lt;&gt;"Y",B397&lt;&gt;"",K397="C"),B397,"")</f>
        <v/>
      </c>
    </row>
    <row r="398">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f>IF(AND(A398&lt;&gt;"Y",B398&lt;&gt;""),B398,"")</f>
        <v/>
      </c>
      <c r="Z398">
        <f>IF(AND(A398&lt;&gt;"Y",B398&lt;&gt;"",K398="C"),B398,"")</f>
        <v/>
      </c>
    </row>
    <row r="399">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f>IF(AND(A399&lt;&gt;"Y",B399&lt;&gt;""),B399,"")</f>
        <v/>
      </c>
      <c r="Z399">
        <f>IF(AND(A399&lt;&gt;"Y",B399&lt;&gt;"",K399="C"),B399,"")</f>
        <v/>
      </c>
    </row>
    <row r="400">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f>IF(AND(A400&lt;&gt;"Y",B400&lt;&gt;""),B400,"")</f>
        <v/>
      </c>
      <c r="Z400">
        <f>IF(AND(A400&lt;&gt;"Y",B400&lt;&gt;"",K400="C"),B400,"")</f>
        <v/>
      </c>
    </row>
    <row r="401">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f>IF(AND(A401&lt;&gt;"Y",B401&lt;&gt;""),B401,"")</f>
        <v/>
      </c>
      <c r="Z401">
        <f>IF(AND(A401&lt;&gt;"Y",B401&lt;&gt;"",K401="C"),B401,"")</f>
        <v/>
      </c>
    </row>
    <row r="402">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f>IF(AND(A402&lt;&gt;"Y",B402&lt;&gt;""),B402,"")</f>
        <v/>
      </c>
      <c r="Z402">
        <f>IF(AND(A402&lt;&gt;"Y",B402&lt;&gt;"",K402="C"),B402,"")</f>
        <v/>
      </c>
    </row>
    <row r="403">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f>IF(AND(A403&lt;&gt;"Y",B403&lt;&gt;""),B403,"")</f>
        <v/>
      </c>
      <c r="Z403">
        <f>IF(AND(A403&lt;&gt;"Y",B403&lt;&gt;"",K403="C"),B403,"")</f>
        <v/>
      </c>
    </row>
    <row r="404">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f>IF(AND(A404&lt;&gt;"Y",B404&lt;&gt;""),B404,"")</f>
        <v/>
      </c>
      <c r="Z404">
        <f>IF(AND(A404&lt;&gt;"Y",B404&lt;&gt;"",K404="C"),B404,"")</f>
        <v/>
      </c>
    </row>
    <row r="405">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f>IF(AND(A405&lt;&gt;"Y",B405&lt;&gt;""),B405,"")</f>
        <v/>
      </c>
      <c r="Z405">
        <f>IF(AND(A405&lt;&gt;"Y",B405&lt;&gt;"",K405="C"),B405,"")</f>
        <v/>
      </c>
    </row>
    <row r="406">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f>IF(AND(A406&lt;&gt;"Y",B406&lt;&gt;""),B406,"")</f>
        <v/>
      </c>
      <c r="Z406">
        <f>IF(AND(A406&lt;&gt;"Y",B406&lt;&gt;"",K406="C"),B406,"")</f>
        <v/>
      </c>
    </row>
    <row r="407">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f>IF(AND(A407&lt;&gt;"Y",B407&lt;&gt;""),B407,"")</f>
        <v/>
      </c>
      <c r="Z407">
        <f>IF(AND(A407&lt;&gt;"Y",B407&lt;&gt;"",K407="C"),B407,"")</f>
        <v/>
      </c>
    </row>
    <row r="408">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f>IF(AND(A408&lt;&gt;"Y",B408&lt;&gt;""),B408,"")</f>
        <v/>
      </c>
      <c r="Z408">
        <f>IF(AND(A408&lt;&gt;"Y",B408&lt;&gt;"",K408="C"),B408,"")</f>
        <v/>
      </c>
    </row>
    <row r="409">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f>IF(AND(A409&lt;&gt;"Y",B409&lt;&gt;""),B409,"")</f>
        <v/>
      </c>
      <c r="Z409">
        <f>IF(AND(A409&lt;&gt;"Y",B409&lt;&gt;"",K409="C"),B409,"")</f>
        <v/>
      </c>
    </row>
    <row r="410">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f>IF(AND(A410&lt;&gt;"Y",B410&lt;&gt;""),B410,"")</f>
        <v/>
      </c>
      <c r="Z410">
        <f>IF(AND(A410&lt;&gt;"Y",B410&lt;&gt;"",K410="C"),B410,"")</f>
        <v/>
      </c>
    </row>
    <row r="411">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f>IF(AND(A411&lt;&gt;"Y",B411&lt;&gt;""),B411,"")</f>
        <v/>
      </c>
      <c r="Z411">
        <f>IF(AND(A411&lt;&gt;"Y",B411&lt;&gt;"",K411="C"),B411,"")</f>
        <v/>
      </c>
    </row>
    <row r="412">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f>IF(AND(A412&lt;&gt;"Y",B412&lt;&gt;""),B412,"")</f>
        <v/>
      </c>
      <c r="Z412">
        <f>IF(AND(A412&lt;&gt;"Y",B412&lt;&gt;"",K412="C"),B412,"")</f>
        <v/>
      </c>
    </row>
    <row r="413">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f>IF(AND(A413&lt;&gt;"Y",B413&lt;&gt;""),B413,"")</f>
        <v/>
      </c>
      <c r="Z413">
        <f>IF(AND(A413&lt;&gt;"Y",B413&lt;&gt;"",K413="C"),B413,"")</f>
        <v/>
      </c>
    </row>
    <row r="414">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f>IF(AND(A414&lt;&gt;"Y",B414&lt;&gt;""),B414,"")</f>
        <v/>
      </c>
      <c r="Z414">
        <f>IF(AND(A414&lt;&gt;"Y",B414&lt;&gt;"",K414="C"),B414,"")</f>
        <v/>
      </c>
    </row>
    <row r="415">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f>IF(AND(A415&lt;&gt;"Y",B415&lt;&gt;""),B415,"")</f>
        <v/>
      </c>
      <c r="Z415">
        <f>IF(AND(A415&lt;&gt;"Y",B415&lt;&gt;"",K415="C"),B415,"")</f>
        <v/>
      </c>
    </row>
    <row r="416">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f>IF(AND(A416&lt;&gt;"Y",B416&lt;&gt;""),B416,"")</f>
        <v/>
      </c>
      <c r="Z416">
        <f>IF(AND(A416&lt;&gt;"Y",B416&lt;&gt;"",K416="C"),B416,"")</f>
        <v/>
      </c>
    </row>
    <row r="417">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f>IF(AND(A417&lt;&gt;"Y",B417&lt;&gt;""),B417,"")</f>
        <v/>
      </c>
      <c r="Z417">
        <f>IF(AND(A417&lt;&gt;"Y",B417&lt;&gt;"",K417="C"),B417,"")</f>
        <v/>
      </c>
    </row>
    <row r="418">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f>IF(AND(A418&lt;&gt;"Y",B418&lt;&gt;""),B418,"")</f>
        <v/>
      </c>
      <c r="Z418">
        <f>IF(AND(A418&lt;&gt;"Y",B418&lt;&gt;"",K418="C"),B418,"")</f>
        <v/>
      </c>
    </row>
    <row r="419">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f>IF(AND(A419&lt;&gt;"Y",B419&lt;&gt;""),B419,"")</f>
        <v/>
      </c>
      <c r="Z419">
        <f>IF(AND(A419&lt;&gt;"Y",B419&lt;&gt;"",K419="C"),B419,"")</f>
        <v/>
      </c>
    </row>
    <row r="420">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f>IF(AND(A420&lt;&gt;"Y",B420&lt;&gt;""),B420,"")</f>
        <v/>
      </c>
      <c r="Z420">
        <f>IF(AND(A420&lt;&gt;"Y",B420&lt;&gt;"",K420="C"),B420,"")</f>
        <v/>
      </c>
    </row>
    <row r="42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f>IF(AND(A421&lt;&gt;"Y",B421&lt;&gt;""),B421,"")</f>
        <v/>
      </c>
      <c r="Z421">
        <f>IF(AND(A421&lt;&gt;"Y",B421&lt;&gt;"",K421="C"),B421,"")</f>
        <v/>
      </c>
    </row>
    <row r="422">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f>IF(AND(A422&lt;&gt;"Y",B422&lt;&gt;""),B422,"")</f>
        <v/>
      </c>
      <c r="Z422">
        <f>IF(AND(A422&lt;&gt;"Y",B422&lt;&gt;"",K422="C"),B422,"")</f>
        <v/>
      </c>
    </row>
    <row r="423">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f>IF(AND(A423&lt;&gt;"Y",B423&lt;&gt;""),B423,"")</f>
        <v/>
      </c>
      <c r="Z423">
        <f>IF(AND(A423&lt;&gt;"Y",B423&lt;&gt;"",K423="C"),B423,"")</f>
        <v/>
      </c>
    </row>
    <row r="424">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f>IF(AND(A424&lt;&gt;"Y",B424&lt;&gt;""),B424,"")</f>
        <v/>
      </c>
      <c r="Z424">
        <f>IF(AND(A424&lt;&gt;"Y",B424&lt;&gt;"",K424="C"),B424,"")</f>
        <v/>
      </c>
    </row>
    <row r="425">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f>IF(AND(A425&lt;&gt;"Y",B425&lt;&gt;""),B425,"")</f>
        <v/>
      </c>
      <c r="Z425">
        <f>IF(AND(A425&lt;&gt;"Y",B425&lt;&gt;"",K425="C"),B425,"")</f>
        <v/>
      </c>
    </row>
    <row r="426">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f>IF(AND(A426&lt;&gt;"Y",B426&lt;&gt;""),B426,"")</f>
        <v/>
      </c>
      <c r="Z426">
        <f>IF(AND(A426&lt;&gt;"Y",B426&lt;&gt;"",K426="C"),B426,"")</f>
        <v/>
      </c>
    </row>
    <row r="427">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f>IF(AND(A427&lt;&gt;"Y",B427&lt;&gt;""),B427,"")</f>
        <v/>
      </c>
      <c r="Z427">
        <f>IF(AND(A427&lt;&gt;"Y",B427&lt;&gt;"",K427="C"),B427,"")</f>
        <v/>
      </c>
    </row>
    <row r="428">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f>IF(AND(A428&lt;&gt;"Y",B428&lt;&gt;""),B428,"")</f>
        <v/>
      </c>
      <c r="Z428">
        <f>IF(AND(A428&lt;&gt;"Y",B428&lt;&gt;"",K428="C"),B428,"")</f>
        <v/>
      </c>
    </row>
    <row r="429">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f>IF(AND(A429&lt;&gt;"Y",B429&lt;&gt;""),B429,"")</f>
        <v/>
      </c>
      <c r="Z429">
        <f>IF(AND(A429&lt;&gt;"Y",B429&lt;&gt;"",K429="C"),B429,"")</f>
        <v/>
      </c>
    </row>
    <row r="430">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f>IF(AND(A430&lt;&gt;"Y",B430&lt;&gt;""),B430,"")</f>
        <v/>
      </c>
      <c r="Z430">
        <f>IF(AND(A430&lt;&gt;"Y",B430&lt;&gt;"",K430="C"),B430,"")</f>
        <v/>
      </c>
    </row>
    <row r="431">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f>IF(AND(A431&lt;&gt;"Y",B431&lt;&gt;""),B431,"")</f>
        <v/>
      </c>
      <c r="Z431">
        <f>IF(AND(A431&lt;&gt;"Y",B431&lt;&gt;"",K431="C"),B431,"")</f>
        <v/>
      </c>
    </row>
    <row r="432">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f>IF(AND(A432&lt;&gt;"Y",B432&lt;&gt;""),B432,"")</f>
        <v/>
      </c>
      <c r="Z432">
        <f>IF(AND(A432&lt;&gt;"Y",B432&lt;&gt;"",K432="C"),B432,"")</f>
        <v/>
      </c>
    </row>
    <row r="433">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f>IF(AND(A433&lt;&gt;"Y",B433&lt;&gt;""),B433,"")</f>
        <v/>
      </c>
      <c r="Z433">
        <f>IF(AND(A433&lt;&gt;"Y",B433&lt;&gt;"",K433="C"),B433,"")</f>
        <v/>
      </c>
    </row>
    <row r="434">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f>IF(AND(A434&lt;&gt;"Y",B434&lt;&gt;""),B434,"")</f>
        <v/>
      </c>
      <c r="Z434">
        <f>IF(AND(A434&lt;&gt;"Y",B434&lt;&gt;"",K434="C"),B434,"")</f>
        <v/>
      </c>
    </row>
    <row r="435">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f>IF(AND(A435&lt;&gt;"Y",B435&lt;&gt;""),B435,"")</f>
        <v/>
      </c>
      <c r="Z435">
        <f>IF(AND(A435&lt;&gt;"Y",B435&lt;&gt;"",K435="C"),B435,"")</f>
        <v/>
      </c>
    </row>
    <row r="436">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f>IF(AND(A436&lt;&gt;"Y",B436&lt;&gt;""),B436,"")</f>
        <v/>
      </c>
      <c r="Z436">
        <f>IF(AND(A436&lt;&gt;"Y",B436&lt;&gt;"",K436="C"),B436,"")</f>
        <v/>
      </c>
    </row>
    <row r="437">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f>IF(AND(A437&lt;&gt;"Y",B437&lt;&gt;""),B437,"")</f>
        <v/>
      </c>
      <c r="Z437">
        <f>IF(AND(A437&lt;&gt;"Y",B437&lt;&gt;"",K437="C"),B437,"")</f>
        <v/>
      </c>
    </row>
    <row r="438">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f>IF(AND(A438&lt;&gt;"Y",B438&lt;&gt;""),B438,"")</f>
        <v/>
      </c>
      <c r="Z438">
        <f>IF(AND(A438&lt;&gt;"Y",B438&lt;&gt;"",K438="C"),B438,"")</f>
        <v/>
      </c>
    </row>
    <row r="439">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f>IF(AND(A439&lt;&gt;"Y",B439&lt;&gt;""),B439,"")</f>
        <v/>
      </c>
      <c r="Z439">
        <f>IF(AND(A439&lt;&gt;"Y",B439&lt;&gt;"",K439="C"),B439,"")</f>
        <v/>
      </c>
    </row>
    <row r="440">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f>IF(AND(A440&lt;&gt;"Y",B440&lt;&gt;""),B440,"")</f>
        <v/>
      </c>
      <c r="Z440">
        <f>IF(AND(A440&lt;&gt;"Y",B440&lt;&gt;"",K440="C"),B440,"")</f>
        <v/>
      </c>
    </row>
    <row r="441">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f>IF(AND(A441&lt;&gt;"Y",B441&lt;&gt;""),B441,"")</f>
        <v/>
      </c>
      <c r="Z441">
        <f>IF(AND(A441&lt;&gt;"Y",B441&lt;&gt;"",K441="C"),B441,"")</f>
        <v/>
      </c>
    </row>
    <row r="442">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f>IF(AND(A442&lt;&gt;"Y",B442&lt;&gt;""),B442,"")</f>
        <v/>
      </c>
      <c r="Z442">
        <f>IF(AND(A442&lt;&gt;"Y",B442&lt;&gt;"",K442="C"),B442,"")</f>
        <v/>
      </c>
    </row>
    <row r="443">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f>IF(AND(A443&lt;&gt;"Y",B443&lt;&gt;""),B443,"")</f>
        <v/>
      </c>
      <c r="Z443">
        <f>IF(AND(A443&lt;&gt;"Y",B443&lt;&gt;"",K443="C"),B443,"")</f>
        <v/>
      </c>
    </row>
    <row r="444">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f>IF(AND(A444&lt;&gt;"Y",B444&lt;&gt;""),B444,"")</f>
        <v/>
      </c>
      <c r="Z444">
        <f>IF(AND(A444&lt;&gt;"Y",B444&lt;&gt;"",K444="C"),B444,"")</f>
        <v/>
      </c>
    </row>
    <row r="445">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f>IF(AND(A445&lt;&gt;"Y",B445&lt;&gt;""),B445,"")</f>
        <v/>
      </c>
      <c r="Z445">
        <f>IF(AND(A445&lt;&gt;"Y",B445&lt;&gt;"",K445="C"),B445,"")</f>
        <v/>
      </c>
    </row>
    <row r="446">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f>IF(AND(A446&lt;&gt;"Y",B446&lt;&gt;""),B446,"")</f>
        <v/>
      </c>
      <c r="Z446">
        <f>IF(AND(A446&lt;&gt;"Y",B446&lt;&gt;"",K446="C"),B446,"")</f>
        <v/>
      </c>
    </row>
    <row r="447">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f>IF(AND(A447&lt;&gt;"Y",B447&lt;&gt;""),B447,"")</f>
        <v/>
      </c>
      <c r="Z447">
        <f>IF(AND(A447&lt;&gt;"Y",B447&lt;&gt;"",K447="C"),B447,"")</f>
        <v/>
      </c>
    </row>
    <row r="448">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f>IF(AND(A448&lt;&gt;"Y",B448&lt;&gt;""),B448,"")</f>
        <v/>
      </c>
      <c r="Z448">
        <f>IF(AND(A448&lt;&gt;"Y",B448&lt;&gt;"",K448="C"),B448,"")</f>
        <v/>
      </c>
    </row>
    <row r="449">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f>IF(AND(A449&lt;&gt;"Y",B449&lt;&gt;""),B449,"")</f>
        <v/>
      </c>
      <c r="Z449">
        <f>IF(AND(A449&lt;&gt;"Y",B449&lt;&gt;"",K449="C"),B449,"")</f>
        <v/>
      </c>
    </row>
    <row r="450">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f>IF(AND(A450&lt;&gt;"Y",B450&lt;&gt;""),B450,"")</f>
        <v/>
      </c>
      <c r="Z450">
        <f>IF(AND(A450&lt;&gt;"Y",B450&lt;&gt;"",K450="C"),B450,"")</f>
        <v/>
      </c>
    </row>
    <row r="45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f>IF(AND(A451&lt;&gt;"Y",B451&lt;&gt;""),B451,"")</f>
        <v/>
      </c>
      <c r="Z451">
        <f>IF(AND(A451&lt;&gt;"Y",B451&lt;&gt;"",K451="C"),B451,"")</f>
        <v/>
      </c>
    </row>
    <row r="452">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f>IF(AND(A452&lt;&gt;"Y",B452&lt;&gt;""),B452,"")</f>
        <v/>
      </c>
      <c r="Z452">
        <f>IF(AND(A452&lt;&gt;"Y",B452&lt;&gt;"",K452="C"),B452,"")</f>
        <v/>
      </c>
    </row>
    <row r="453">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f>IF(AND(A453&lt;&gt;"Y",B453&lt;&gt;""),B453,"")</f>
        <v/>
      </c>
      <c r="Z453">
        <f>IF(AND(A453&lt;&gt;"Y",B453&lt;&gt;"",K453="C"),B453,"")</f>
        <v/>
      </c>
    </row>
    <row r="454">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f>IF(AND(A454&lt;&gt;"Y",B454&lt;&gt;""),B454,"")</f>
        <v/>
      </c>
      <c r="Z454">
        <f>IF(AND(A454&lt;&gt;"Y",B454&lt;&gt;"",K454="C"),B454,"")</f>
        <v/>
      </c>
    </row>
    <row r="455">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f>IF(AND(A455&lt;&gt;"Y",B455&lt;&gt;""),B455,"")</f>
        <v/>
      </c>
      <c r="Z455">
        <f>IF(AND(A455&lt;&gt;"Y",B455&lt;&gt;"",K455="C"),B455,"")</f>
        <v/>
      </c>
    </row>
    <row r="456">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f>IF(AND(A456&lt;&gt;"Y",B456&lt;&gt;""),B456,"")</f>
        <v/>
      </c>
      <c r="Z456">
        <f>IF(AND(A456&lt;&gt;"Y",B456&lt;&gt;"",K456="C"),B456,"")</f>
        <v/>
      </c>
    </row>
    <row r="457">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f>IF(AND(A457&lt;&gt;"Y",B457&lt;&gt;""),B457,"")</f>
        <v/>
      </c>
      <c r="Z457">
        <f>IF(AND(A457&lt;&gt;"Y",B457&lt;&gt;"",K457="C"),B457,"")</f>
        <v/>
      </c>
    </row>
    <row r="458">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f>IF(AND(A458&lt;&gt;"Y",B458&lt;&gt;""),B458,"")</f>
        <v/>
      </c>
      <c r="Z458">
        <f>IF(AND(A458&lt;&gt;"Y",B458&lt;&gt;"",K458="C"),B458,"")</f>
        <v/>
      </c>
    </row>
    <row r="459">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f>IF(AND(A459&lt;&gt;"Y",B459&lt;&gt;""),B459,"")</f>
        <v/>
      </c>
      <c r="Z459">
        <f>IF(AND(A459&lt;&gt;"Y",B459&lt;&gt;"",K459="C"),B459,"")</f>
        <v/>
      </c>
    </row>
    <row r="460">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f>IF(AND(A460&lt;&gt;"Y",B460&lt;&gt;""),B460,"")</f>
        <v/>
      </c>
      <c r="Z460">
        <f>IF(AND(A460&lt;&gt;"Y",B460&lt;&gt;"",K460="C"),B460,"")</f>
        <v/>
      </c>
    </row>
    <row r="46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f>IF(AND(A461&lt;&gt;"Y",B461&lt;&gt;""),B461,"")</f>
        <v/>
      </c>
      <c r="Z461">
        <f>IF(AND(A461&lt;&gt;"Y",B461&lt;&gt;"",K461="C"),B461,"")</f>
        <v/>
      </c>
    </row>
    <row r="462">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f>IF(AND(A462&lt;&gt;"Y",B462&lt;&gt;""),B462,"")</f>
        <v/>
      </c>
      <c r="Z462">
        <f>IF(AND(A462&lt;&gt;"Y",B462&lt;&gt;"",K462="C"),B462,"")</f>
        <v/>
      </c>
    </row>
    <row r="463">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f>IF(AND(A463&lt;&gt;"Y",B463&lt;&gt;""),B463,"")</f>
        <v/>
      </c>
      <c r="Z463">
        <f>IF(AND(A463&lt;&gt;"Y",B463&lt;&gt;"",K463="C"),B463,"")</f>
        <v/>
      </c>
    </row>
    <row r="464">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f>IF(AND(A464&lt;&gt;"Y",B464&lt;&gt;""),B464,"")</f>
        <v/>
      </c>
      <c r="Z464">
        <f>IF(AND(A464&lt;&gt;"Y",B464&lt;&gt;"",K464="C"),B464,"")</f>
        <v/>
      </c>
    </row>
    <row r="465">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f>IF(AND(A465&lt;&gt;"Y",B465&lt;&gt;""),B465,"")</f>
        <v/>
      </c>
      <c r="Z465">
        <f>IF(AND(A465&lt;&gt;"Y",B465&lt;&gt;"",K465="C"),B465,"")</f>
        <v/>
      </c>
    </row>
    <row r="466">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f>IF(AND(A466&lt;&gt;"Y",B466&lt;&gt;""),B466,"")</f>
        <v/>
      </c>
      <c r="Z466">
        <f>IF(AND(A466&lt;&gt;"Y",B466&lt;&gt;"",K466="C"),B466,"")</f>
        <v/>
      </c>
    </row>
    <row r="467">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f>IF(AND(A467&lt;&gt;"Y",B467&lt;&gt;""),B467,"")</f>
        <v/>
      </c>
      <c r="Z467">
        <f>IF(AND(A467&lt;&gt;"Y",B467&lt;&gt;"",K467="C"),B467,"")</f>
        <v/>
      </c>
    </row>
    <row r="468">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f>IF(AND(A468&lt;&gt;"Y",B468&lt;&gt;""),B468,"")</f>
        <v/>
      </c>
      <c r="Z468">
        <f>IF(AND(A468&lt;&gt;"Y",B468&lt;&gt;"",K468="C"),B468,"")</f>
        <v/>
      </c>
    </row>
    <row r="469">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f>IF(AND(A469&lt;&gt;"Y",B469&lt;&gt;""),B469,"")</f>
        <v/>
      </c>
      <c r="Z469">
        <f>IF(AND(A469&lt;&gt;"Y",B469&lt;&gt;"",K469="C"),B469,"")</f>
        <v/>
      </c>
    </row>
    <row r="470">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f>IF(AND(A470&lt;&gt;"Y",B470&lt;&gt;""),B470,"")</f>
        <v/>
      </c>
      <c r="Z470">
        <f>IF(AND(A470&lt;&gt;"Y",B470&lt;&gt;"",K470="C"),B470,"")</f>
        <v/>
      </c>
    </row>
    <row r="471">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f>IF(AND(A471&lt;&gt;"Y",B471&lt;&gt;""),B471,"")</f>
        <v/>
      </c>
      <c r="Z471">
        <f>IF(AND(A471&lt;&gt;"Y",B471&lt;&gt;"",K471="C"),B471,"")</f>
        <v/>
      </c>
    </row>
    <row r="472">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f>IF(AND(A472&lt;&gt;"Y",B472&lt;&gt;""),B472,"")</f>
        <v/>
      </c>
      <c r="Z472">
        <f>IF(AND(A472&lt;&gt;"Y",B472&lt;&gt;"",K472="C"),B472,"")</f>
        <v/>
      </c>
    </row>
    <row r="473">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f>IF(AND(A473&lt;&gt;"Y",B473&lt;&gt;""),B473,"")</f>
        <v/>
      </c>
      <c r="Z473">
        <f>IF(AND(A473&lt;&gt;"Y",B473&lt;&gt;"",K473="C"),B473,"")</f>
        <v/>
      </c>
    </row>
    <row r="474">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f>IF(AND(A474&lt;&gt;"Y",B474&lt;&gt;""),B474,"")</f>
        <v/>
      </c>
      <c r="Z474">
        <f>IF(AND(A474&lt;&gt;"Y",B474&lt;&gt;"",K474="C"),B474,"")</f>
        <v/>
      </c>
    </row>
    <row r="475">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f>IF(AND(A475&lt;&gt;"Y",B475&lt;&gt;""),B475,"")</f>
        <v/>
      </c>
      <c r="Z475">
        <f>IF(AND(A475&lt;&gt;"Y",B475&lt;&gt;"",K475="C"),B475,"")</f>
        <v/>
      </c>
    </row>
    <row r="476">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f>IF(AND(A476&lt;&gt;"Y",B476&lt;&gt;""),B476,"")</f>
        <v/>
      </c>
      <c r="Z476">
        <f>IF(AND(A476&lt;&gt;"Y",B476&lt;&gt;"",K476="C"),B476,"")</f>
        <v/>
      </c>
    </row>
    <row r="477">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f>IF(AND(A477&lt;&gt;"Y",B477&lt;&gt;""),B477,"")</f>
        <v/>
      </c>
      <c r="Z477">
        <f>IF(AND(A477&lt;&gt;"Y",B477&lt;&gt;"",K477="C"),B477,"")</f>
        <v/>
      </c>
    </row>
    <row r="478">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f>IF(AND(A478&lt;&gt;"Y",B478&lt;&gt;""),B478,"")</f>
        <v/>
      </c>
      <c r="Z478">
        <f>IF(AND(A478&lt;&gt;"Y",B478&lt;&gt;"",K478="C"),B478,"")</f>
        <v/>
      </c>
    </row>
    <row r="479">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f>IF(AND(A479&lt;&gt;"Y",B479&lt;&gt;""),B479,"")</f>
        <v/>
      </c>
      <c r="Z479">
        <f>IF(AND(A479&lt;&gt;"Y",B479&lt;&gt;"",K479="C"),B479,"")</f>
        <v/>
      </c>
    </row>
    <row r="480">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f>IF(AND(A480&lt;&gt;"Y",B480&lt;&gt;""),B480,"")</f>
        <v/>
      </c>
      <c r="Z480">
        <f>IF(AND(A480&lt;&gt;"Y",B480&lt;&gt;"",K480="C"),B480,"")</f>
        <v/>
      </c>
    </row>
    <row r="481">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f>IF(AND(A481&lt;&gt;"Y",B481&lt;&gt;""),B481,"")</f>
        <v/>
      </c>
      <c r="Z481">
        <f>IF(AND(A481&lt;&gt;"Y",B481&lt;&gt;"",K481="C"),B481,"")</f>
        <v/>
      </c>
    </row>
    <row r="482">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f>IF(AND(A482&lt;&gt;"Y",B482&lt;&gt;""),B482,"")</f>
        <v/>
      </c>
      <c r="Z482">
        <f>IF(AND(A482&lt;&gt;"Y",B482&lt;&gt;"",K482="C"),B482,"")</f>
        <v/>
      </c>
    </row>
    <row r="483">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f>IF(AND(A483&lt;&gt;"Y",B483&lt;&gt;""),B483,"")</f>
        <v/>
      </c>
      <c r="Z483">
        <f>IF(AND(A483&lt;&gt;"Y",B483&lt;&gt;"",K483="C"),B483,"")</f>
        <v/>
      </c>
    </row>
    <row r="484">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f>IF(AND(A484&lt;&gt;"Y",B484&lt;&gt;""),B484,"")</f>
        <v/>
      </c>
      <c r="Z484">
        <f>IF(AND(A484&lt;&gt;"Y",B484&lt;&gt;"",K484="C"),B484,"")</f>
        <v/>
      </c>
    </row>
    <row r="485">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f>IF(AND(A485&lt;&gt;"Y",B485&lt;&gt;""),B485,"")</f>
        <v/>
      </c>
      <c r="Z485">
        <f>IF(AND(A485&lt;&gt;"Y",B485&lt;&gt;"",K485="C"),B485,"")</f>
        <v/>
      </c>
    </row>
    <row r="486">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f>IF(AND(A486&lt;&gt;"Y",B486&lt;&gt;""),B486,"")</f>
        <v/>
      </c>
      <c r="Z486">
        <f>IF(AND(A486&lt;&gt;"Y",B486&lt;&gt;"",K486="C"),B486,"")</f>
        <v/>
      </c>
    </row>
    <row r="487">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f>IF(AND(A487&lt;&gt;"Y",B487&lt;&gt;""),B487,"")</f>
        <v/>
      </c>
      <c r="Z487">
        <f>IF(AND(A487&lt;&gt;"Y",B487&lt;&gt;"",K487="C"),B487,"")</f>
        <v/>
      </c>
    </row>
    <row r="488">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f>IF(AND(A488&lt;&gt;"Y",B488&lt;&gt;""),B488,"")</f>
        <v/>
      </c>
      <c r="Z488">
        <f>IF(AND(A488&lt;&gt;"Y",B488&lt;&gt;"",K488="C"),B488,"")</f>
        <v/>
      </c>
    </row>
    <row r="489">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f>IF(AND(A489&lt;&gt;"Y",B489&lt;&gt;""),B489,"")</f>
        <v/>
      </c>
      <c r="Z489">
        <f>IF(AND(A489&lt;&gt;"Y",B489&lt;&gt;"",K489="C"),B489,"")</f>
        <v/>
      </c>
    </row>
    <row r="490">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f>IF(AND(A490&lt;&gt;"Y",B490&lt;&gt;""),B490,"")</f>
        <v/>
      </c>
      <c r="Z490">
        <f>IF(AND(A490&lt;&gt;"Y",B490&lt;&gt;"",K490="C"),B490,"")</f>
        <v/>
      </c>
    </row>
    <row r="491">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f>IF(AND(A491&lt;&gt;"Y",B491&lt;&gt;""),B491,"")</f>
        <v/>
      </c>
      <c r="Z491">
        <f>IF(AND(A491&lt;&gt;"Y",B491&lt;&gt;"",K491="C"),B491,"")</f>
        <v/>
      </c>
    </row>
    <row r="492">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f>IF(AND(A492&lt;&gt;"Y",B492&lt;&gt;""),B492,"")</f>
        <v/>
      </c>
      <c r="Z492">
        <f>IF(AND(A492&lt;&gt;"Y",B492&lt;&gt;"",K492="C"),B492,"")</f>
        <v/>
      </c>
    </row>
    <row r="493">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f>IF(AND(A493&lt;&gt;"Y",B493&lt;&gt;""),B493,"")</f>
        <v/>
      </c>
      <c r="Z493">
        <f>IF(AND(A493&lt;&gt;"Y",B493&lt;&gt;"",K493="C"),B493,"")</f>
        <v/>
      </c>
    </row>
    <row r="494">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f>IF(AND(A494&lt;&gt;"Y",B494&lt;&gt;""),B494,"")</f>
        <v/>
      </c>
      <c r="Z494">
        <f>IF(AND(A494&lt;&gt;"Y",B494&lt;&gt;"",K494="C"),B494,"")</f>
        <v/>
      </c>
    </row>
    <row r="495">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f>IF(AND(A495&lt;&gt;"Y",B495&lt;&gt;""),B495,"")</f>
        <v/>
      </c>
      <c r="Z495">
        <f>IF(AND(A495&lt;&gt;"Y",B495&lt;&gt;"",K495="C"),B495,"")</f>
        <v/>
      </c>
    </row>
    <row r="496">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f>IF(AND(A496&lt;&gt;"Y",B496&lt;&gt;""),B496,"")</f>
        <v/>
      </c>
      <c r="Z496">
        <f>IF(AND(A496&lt;&gt;"Y",B496&lt;&gt;"",K496="C"),B496,"")</f>
        <v/>
      </c>
    </row>
    <row r="497">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f>IF(AND(A497&lt;&gt;"Y",B497&lt;&gt;""),B497,"")</f>
        <v/>
      </c>
      <c r="Z497">
        <f>IF(AND(A497&lt;&gt;"Y",B497&lt;&gt;"",K497="C"),B497,"")</f>
        <v/>
      </c>
    </row>
    <row r="498">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f>IF(AND(A498&lt;&gt;"Y",B498&lt;&gt;""),B498,"")</f>
        <v/>
      </c>
      <c r="Z498">
        <f>IF(AND(A498&lt;&gt;"Y",B498&lt;&gt;"",K498="C"),B498,"")</f>
        <v/>
      </c>
    </row>
    <row r="499">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f>IF(AND(A499&lt;&gt;"Y",B499&lt;&gt;""),B499,"")</f>
        <v/>
      </c>
      <c r="Z499">
        <f>IF(AND(A499&lt;&gt;"Y",B499&lt;&gt;"",K499="C"),B499,"")</f>
        <v/>
      </c>
    </row>
    <row r="500">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f>IF(AND(A500&lt;&gt;"Y",B500&lt;&gt;""),B500,"")</f>
        <v/>
      </c>
      <c r="Z500">
        <f>IF(AND(A500&lt;&gt;"Y",B500&lt;&gt;"",K500="C"),B500,"")</f>
        <v/>
      </c>
    </row>
    <row r="501">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f>IF(AND(A501&lt;&gt;"Y",B501&lt;&gt;""),B501,"")</f>
        <v/>
      </c>
      <c r="Z501">
        <f>IF(AND(A501&lt;&gt;"Y",B501&lt;&gt;"",K501="C"),B501,"")</f>
        <v/>
      </c>
    </row>
    <row r="502">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f>IF(AND(A502&lt;&gt;"Y",B502&lt;&gt;""),B502,"")</f>
        <v/>
      </c>
      <c r="Z502">
        <f>IF(AND(A502&lt;&gt;"Y",B502&lt;&gt;"",K502="C"),B502,"")</f>
        <v/>
      </c>
    </row>
    <row r="503">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f>IF(AND(A503&lt;&gt;"Y",B503&lt;&gt;""),B503,"")</f>
        <v/>
      </c>
      <c r="Z503">
        <f>IF(AND(A503&lt;&gt;"Y",B503&lt;&gt;"",K503="C"),B503,"")</f>
        <v/>
      </c>
    </row>
    <row r="504">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f>IF(AND(A504&lt;&gt;"Y",B504&lt;&gt;""),B504,"")</f>
        <v/>
      </c>
      <c r="Z504">
        <f>IF(AND(A504&lt;&gt;"Y",B504&lt;&gt;"",K504="C"),B504,"")</f>
        <v/>
      </c>
    </row>
    <row r="505">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f>IF(AND(A505&lt;&gt;"Y",B505&lt;&gt;""),B505,"")</f>
        <v/>
      </c>
      <c r="Z505">
        <f>IF(AND(A505&lt;&gt;"Y",B505&lt;&gt;"",K505="C"),B505,"")</f>
        <v/>
      </c>
    </row>
    <row r="506">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f>IF(AND(A506&lt;&gt;"Y",B506&lt;&gt;""),B506,"")</f>
        <v/>
      </c>
      <c r="Z506">
        <f>IF(AND(A506&lt;&gt;"Y",B506&lt;&gt;"",K506="C"),B506,"")</f>
        <v/>
      </c>
    </row>
    <row r="507">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f>IF(AND(A507&lt;&gt;"Y",B507&lt;&gt;""),B507,"")</f>
        <v/>
      </c>
      <c r="Z507">
        <f>IF(AND(A507&lt;&gt;"Y",B507&lt;&gt;"",K507="C"),B507,"")</f>
        <v/>
      </c>
    </row>
    <row r="508">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f>IF(AND(A508&lt;&gt;"Y",B508&lt;&gt;""),B508,"")</f>
        <v/>
      </c>
      <c r="Z508">
        <f>IF(AND(A508&lt;&gt;"Y",B508&lt;&gt;"",K508="C"),B508,"")</f>
        <v/>
      </c>
    </row>
    <row r="509">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f>IF(AND(A509&lt;&gt;"Y",B509&lt;&gt;""),B509,"")</f>
        <v/>
      </c>
      <c r="Z509">
        <f>IF(AND(A509&lt;&gt;"Y",B509&lt;&gt;"",K509="C"),B509,"")</f>
        <v/>
      </c>
    </row>
    <row r="510">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f>IF(AND(A510&lt;&gt;"Y",B510&lt;&gt;""),B510,"")</f>
        <v/>
      </c>
      <c r="Z510">
        <f>IF(AND(A510&lt;&gt;"Y",B510&lt;&gt;"",K510="C"),B510,"")</f>
        <v/>
      </c>
    </row>
    <row r="511">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f>IF(AND(A511&lt;&gt;"Y",B511&lt;&gt;""),B511,"")</f>
        <v/>
      </c>
      <c r="Z511">
        <f>IF(AND(A511&lt;&gt;"Y",B511&lt;&gt;"",K511="C"),B511,"")</f>
        <v/>
      </c>
    </row>
    <row r="512">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f>IF(AND(A512&lt;&gt;"Y",B512&lt;&gt;""),B512,"")</f>
        <v/>
      </c>
      <c r="Z512">
        <f>IF(AND(A512&lt;&gt;"Y",B512&lt;&gt;"",K512="C"),B512,"")</f>
        <v/>
      </c>
    </row>
    <row r="513">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f>IF(AND(A513&lt;&gt;"Y",B513&lt;&gt;""),B513,"")</f>
        <v/>
      </c>
      <c r="Z513">
        <f>IF(AND(A513&lt;&gt;"Y",B513&lt;&gt;"",K513="C"),B513,"")</f>
        <v/>
      </c>
    </row>
    <row r="514">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f>IF(AND(A514&lt;&gt;"Y",B514&lt;&gt;""),B514,"")</f>
        <v/>
      </c>
      <c r="Z514">
        <f>IF(AND(A514&lt;&gt;"Y",B514&lt;&gt;"",K514="C"),B514,"")</f>
        <v/>
      </c>
    </row>
    <row r="515">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f>IF(AND(A515&lt;&gt;"Y",B515&lt;&gt;""),B515,"")</f>
        <v/>
      </c>
      <c r="Z515">
        <f>IF(AND(A515&lt;&gt;"Y",B515&lt;&gt;"",K515="C"),B515,"")</f>
        <v/>
      </c>
    </row>
    <row r="516">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f>IF(AND(A516&lt;&gt;"Y",B516&lt;&gt;""),B516,"")</f>
        <v/>
      </c>
      <c r="Z516">
        <f>IF(AND(A516&lt;&gt;"Y",B516&lt;&gt;"",K516="C"),B516,"")</f>
        <v/>
      </c>
    </row>
    <row r="517">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f>IF(AND(A517&lt;&gt;"Y",B517&lt;&gt;""),B517,"")</f>
        <v/>
      </c>
      <c r="Z517">
        <f>IF(AND(A517&lt;&gt;"Y",B517&lt;&gt;"",K517="C"),B517,"")</f>
        <v/>
      </c>
    </row>
    <row r="518">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f>IF(AND(A518&lt;&gt;"Y",B518&lt;&gt;""),B518,"")</f>
        <v/>
      </c>
      <c r="Z518">
        <f>IF(AND(A518&lt;&gt;"Y",B518&lt;&gt;"",K518="C"),B518,"")</f>
        <v/>
      </c>
    </row>
    <row r="519">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f>IF(AND(A519&lt;&gt;"Y",B519&lt;&gt;""),B519,"")</f>
        <v/>
      </c>
      <c r="Z519">
        <f>IF(AND(A519&lt;&gt;"Y",B519&lt;&gt;"",K519="C"),B519,"")</f>
        <v/>
      </c>
    </row>
    <row r="520">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f>IF(AND(A520&lt;&gt;"Y",B520&lt;&gt;""),B520,"")</f>
        <v/>
      </c>
      <c r="Z520">
        <f>IF(AND(A520&lt;&gt;"Y",B520&lt;&gt;"",K520="C"),B520,"")</f>
        <v/>
      </c>
    </row>
    <row r="521">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f>IF(AND(A521&lt;&gt;"Y",B521&lt;&gt;""),B521,"")</f>
        <v/>
      </c>
      <c r="Z521">
        <f>IF(AND(A521&lt;&gt;"Y",B521&lt;&gt;"",K521="C"),B521,"")</f>
        <v/>
      </c>
    </row>
    <row r="522">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f>IF(AND(A522&lt;&gt;"Y",B522&lt;&gt;""),B522,"")</f>
        <v/>
      </c>
      <c r="Z522">
        <f>IF(AND(A522&lt;&gt;"Y",B522&lt;&gt;"",K522="C"),B522,"")</f>
        <v/>
      </c>
    </row>
    <row r="523">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f>IF(AND(A523&lt;&gt;"Y",B523&lt;&gt;""),B523,"")</f>
        <v/>
      </c>
      <c r="Z523">
        <f>IF(AND(A523&lt;&gt;"Y",B523&lt;&gt;"",K523="C"),B523,"")</f>
        <v/>
      </c>
    </row>
    <row r="524">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f>IF(AND(A524&lt;&gt;"Y",B524&lt;&gt;""),B524,"")</f>
        <v/>
      </c>
      <c r="Z524">
        <f>IF(AND(A524&lt;&gt;"Y",B524&lt;&gt;"",K524="C"),B524,"")</f>
        <v/>
      </c>
    </row>
    <row r="525">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f>IF(AND(A525&lt;&gt;"Y",B525&lt;&gt;""),B525,"")</f>
        <v/>
      </c>
      <c r="Z525">
        <f>IF(AND(A525&lt;&gt;"Y",B525&lt;&gt;"",K525="C"),B525,"")</f>
        <v/>
      </c>
    </row>
    <row r="526">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f>IF(AND(A526&lt;&gt;"Y",B526&lt;&gt;""),B526,"")</f>
        <v/>
      </c>
      <c r="Z526">
        <f>IF(AND(A526&lt;&gt;"Y",B526&lt;&gt;"",K526="C"),B526,"")</f>
        <v/>
      </c>
    </row>
    <row r="527">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f>IF(AND(A527&lt;&gt;"Y",B527&lt;&gt;""),B527,"")</f>
        <v/>
      </c>
      <c r="Z527">
        <f>IF(AND(A527&lt;&gt;"Y",B527&lt;&gt;"",K527="C"),B527,"")</f>
        <v/>
      </c>
    </row>
    <row r="528">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f>IF(AND(A528&lt;&gt;"Y",B528&lt;&gt;""),B528,"")</f>
        <v/>
      </c>
      <c r="Z528">
        <f>IF(AND(A528&lt;&gt;"Y",B528&lt;&gt;"",K528="C"),B528,"")</f>
        <v/>
      </c>
    </row>
    <row r="529">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f>IF(AND(A529&lt;&gt;"Y",B529&lt;&gt;""),B529,"")</f>
        <v/>
      </c>
      <c r="Z529">
        <f>IF(AND(A529&lt;&gt;"Y",B529&lt;&gt;"",K529="C"),B529,"")</f>
        <v/>
      </c>
    </row>
    <row r="530">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f>IF(AND(A530&lt;&gt;"Y",B530&lt;&gt;""),B530,"")</f>
        <v/>
      </c>
      <c r="Z530">
        <f>IF(AND(A530&lt;&gt;"Y",B530&lt;&gt;"",K530="C"),B530,"")</f>
        <v/>
      </c>
    </row>
    <row r="53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f>IF(AND(A531&lt;&gt;"Y",B531&lt;&gt;""),B531,"")</f>
        <v/>
      </c>
      <c r="Z531">
        <f>IF(AND(A531&lt;&gt;"Y",B531&lt;&gt;"",K531="C"),B531,"")</f>
        <v/>
      </c>
    </row>
    <row r="532">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f>IF(AND(A532&lt;&gt;"Y",B532&lt;&gt;""),B532,"")</f>
        <v/>
      </c>
      <c r="Z532">
        <f>IF(AND(A532&lt;&gt;"Y",B532&lt;&gt;"",K532="C"),B532,"")</f>
        <v/>
      </c>
    </row>
    <row r="533">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f>IF(AND(A533&lt;&gt;"Y",B533&lt;&gt;""),B533,"")</f>
        <v/>
      </c>
      <c r="Z533">
        <f>IF(AND(A533&lt;&gt;"Y",B533&lt;&gt;"",K533="C"),B533,"")</f>
        <v/>
      </c>
    </row>
    <row r="534">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f>IF(AND(A534&lt;&gt;"Y",B534&lt;&gt;""),B534,"")</f>
        <v/>
      </c>
      <c r="Z534">
        <f>IF(AND(A534&lt;&gt;"Y",B534&lt;&gt;"",K534="C"),B534,"")</f>
        <v/>
      </c>
    </row>
    <row r="535">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f>IF(AND(A535&lt;&gt;"Y",B535&lt;&gt;""),B535,"")</f>
        <v/>
      </c>
      <c r="Z535">
        <f>IF(AND(A535&lt;&gt;"Y",B535&lt;&gt;"",K535="C"),B535,"")</f>
        <v/>
      </c>
    </row>
    <row r="536">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f>IF(AND(A536&lt;&gt;"Y",B536&lt;&gt;""),B536,"")</f>
        <v/>
      </c>
      <c r="Z536">
        <f>IF(AND(A536&lt;&gt;"Y",B536&lt;&gt;"",K536="C"),B536,"")</f>
        <v/>
      </c>
    </row>
    <row r="537">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f>IF(AND(A537&lt;&gt;"Y",B537&lt;&gt;""),B537,"")</f>
        <v/>
      </c>
      <c r="Z537">
        <f>IF(AND(A537&lt;&gt;"Y",B537&lt;&gt;"",K537="C"),B537,"")</f>
        <v/>
      </c>
    </row>
    <row r="538">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f>IF(AND(A538&lt;&gt;"Y",B538&lt;&gt;""),B538,"")</f>
        <v/>
      </c>
      <c r="Z538">
        <f>IF(AND(A538&lt;&gt;"Y",B538&lt;&gt;"",K538="C"),B538,"")</f>
        <v/>
      </c>
    </row>
    <row r="539">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f>IF(AND(A539&lt;&gt;"Y",B539&lt;&gt;""),B539,"")</f>
        <v/>
      </c>
      <c r="Z539">
        <f>IF(AND(A539&lt;&gt;"Y",B539&lt;&gt;"",K539="C"),B539,"")</f>
        <v/>
      </c>
    </row>
    <row r="540">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f>IF(AND(A540&lt;&gt;"Y",B540&lt;&gt;""),B540,"")</f>
        <v/>
      </c>
      <c r="Z540">
        <f>IF(AND(A540&lt;&gt;"Y",B540&lt;&gt;"",K540="C"),B540,"")</f>
        <v/>
      </c>
    </row>
    <row r="541">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f>IF(AND(A541&lt;&gt;"Y",B541&lt;&gt;""),B541,"")</f>
        <v/>
      </c>
      <c r="Z541">
        <f>IF(AND(A541&lt;&gt;"Y",B541&lt;&gt;"",K541="C"),B541,"")</f>
        <v/>
      </c>
    </row>
    <row r="542">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f>IF(AND(A542&lt;&gt;"Y",B542&lt;&gt;""),B542,"")</f>
        <v/>
      </c>
      <c r="Z542">
        <f>IF(AND(A542&lt;&gt;"Y",B542&lt;&gt;"",K542="C"),B542,"")</f>
        <v/>
      </c>
    </row>
    <row r="543">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f>IF(AND(A543&lt;&gt;"Y",B543&lt;&gt;""),B543,"")</f>
        <v/>
      </c>
      <c r="Z543">
        <f>IF(AND(A543&lt;&gt;"Y",B543&lt;&gt;"",K543="C"),B543,"")</f>
        <v/>
      </c>
    </row>
    <row r="544">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f>IF(AND(A544&lt;&gt;"Y",B544&lt;&gt;""),B544,"")</f>
        <v/>
      </c>
      <c r="Z544">
        <f>IF(AND(A544&lt;&gt;"Y",B544&lt;&gt;"",K544="C"),B544,"")</f>
        <v/>
      </c>
    </row>
    <row r="545">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f>IF(AND(A545&lt;&gt;"Y",B545&lt;&gt;""),B545,"")</f>
        <v/>
      </c>
      <c r="Z545">
        <f>IF(AND(A545&lt;&gt;"Y",B545&lt;&gt;"",K545="C"),B545,"")</f>
        <v/>
      </c>
    </row>
    <row r="546">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f>IF(AND(A546&lt;&gt;"Y",B546&lt;&gt;""),B546,"")</f>
        <v/>
      </c>
      <c r="Z546">
        <f>IF(AND(A546&lt;&gt;"Y",B546&lt;&gt;"",K546="C"),B546,"")</f>
        <v/>
      </c>
    </row>
    <row r="547">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f>IF(AND(A547&lt;&gt;"Y",B547&lt;&gt;""),B547,"")</f>
        <v/>
      </c>
      <c r="Z547">
        <f>IF(AND(A547&lt;&gt;"Y",B547&lt;&gt;"",K547="C"),B547,"")</f>
        <v/>
      </c>
    </row>
    <row r="548">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f>IF(AND(A548&lt;&gt;"Y",B548&lt;&gt;""),B548,"")</f>
        <v/>
      </c>
      <c r="Z548">
        <f>IF(AND(A548&lt;&gt;"Y",B548&lt;&gt;"",K548="C"),B548,"")</f>
        <v/>
      </c>
    </row>
    <row r="549">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f>IF(AND(A549&lt;&gt;"Y",B549&lt;&gt;""),B549,"")</f>
        <v/>
      </c>
      <c r="Z549">
        <f>IF(AND(A549&lt;&gt;"Y",B549&lt;&gt;"",K549="C"),B549,"")</f>
        <v/>
      </c>
    </row>
    <row r="550">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f>IF(AND(A550&lt;&gt;"Y",B550&lt;&gt;""),B550,"")</f>
        <v/>
      </c>
      <c r="Z550">
        <f>IF(AND(A550&lt;&gt;"Y",B550&lt;&gt;"",K550="C"),B550,"")</f>
        <v/>
      </c>
    </row>
    <row r="551">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f>IF(AND(A551&lt;&gt;"Y",B551&lt;&gt;""),B551,"")</f>
        <v/>
      </c>
      <c r="Z551">
        <f>IF(AND(A551&lt;&gt;"Y",B551&lt;&gt;"",K551="C"),B551,"")</f>
        <v/>
      </c>
    </row>
    <row r="552">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f>IF(AND(A552&lt;&gt;"Y",B552&lt;&gt;""),B552,"")</f>
        <v/>
      </c>
      <c r="Z552">
        <f>IF(AND(A552&lt;&gt;"Y",B552&lt;&gt;"",K552="C"),B552,"")</f>
        <v/>
      </c>
    </row>
    <row r="553">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f>IF(AND(A553&lt;&gt;"Y",B553&lt;&gt;""),B553,"")</f>
        <v/>
      </c>
      <c r="Z553">
        <f>IF(AND(A553&lt;&gt;"Y",B553&lt;&gt;"",K553="C"),B553,"")</f>
        <v/>
      </c>
    </row>
    <row r="554">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f>IF(AND(A554&lt;&gt;"Y",B554&lt;&gt;""),B554,"")</f>
        <v/>
      </c>
      <c r="Z554">
        <f>IF(AND(A554&lt;&gt;"Y",B554&lt;&gt;"",K554="C"),B554,"")</f>
        <v/>
      </c>
    </row>
    <row r="555">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f>IF(AND(A555&lt;&gt;"Y",B555&lt;&gt;""),B555,"")</f>
        <v/>
      </c>
      <c r="Z555">
        <f>IF(AND(A555&lt;&gt;"Y",B555&lt;&gt;"",K555="C"),B555,"")</f>
        <v/>
      </c>
    </row>
    <row r="556">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f>IF(AND(A556&lt;&gt;"Y",B556&lt;&gt;""),B556,"")</f>
        <v/>
      </c>
      <c r="Z556">
        <f>IF(AND(A556&lt;&gt;"Y",B556&lt;&gt;"",K556="C"),B556,"")</f>
        <v/>
      </c>
    </row>
    <row r="557">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f>IF(AND(A557&lt;&gt;"Y",B557&lt;&gt;""),B557,"")</f>
        <v/>
      </c>
      <c r="Z557">
        <f>IF(AND(A557&lt;&gt;"Y",B557&lt;&gt;"",K557="C"),B557,"")</f>
        <v/>
      </c>
    </row>
    <row r="558">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f>IF(AND(A558&lt;&gt;"Y",B558&lt;&gt;""),B558,"")</f>
        <v/>
      </c>
      <c r="Z558">
        <f>IF(AND(A558&lt;&gt;"Y",B558&lt;&gt;"",K558="C"),B558,"")</f>
        <v/>
      </c>
    </row>
    <row r="559">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f>IF(AND(A559&lt;&gt;"Y",B559&lt;&gt;""),B559,"")</f>
        <v/>
      </c>
      <c r="Z559">
        <f>IF(AND(A559&lt;&gt;"Y",B559&lt;&gt;"",K559="C"),B559,"")</f>
        <v/>
      </c>
    </row>
    <row r="560">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f>IF(AND(A560&lt;&gt;"Y",B560&lt;&gt;""),B560,"")</f>
        <v/>
      </c>
      <c r="Z560">
        <f>IF(AND(A560&lt;&gt;"Y",B560&lt;&gt;"",K560="C"),B560,"")</f>
        <v/>
      </c>
    </row>
    <row r="561">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f>IF(AND(A561&lt;&gt;"Y",B561&lt;&gt;""),B561,"")</f>
        <v/>
      </c>
      <c r="Z561">
        <f>IF(AND(A561&lt;&gt;"Y",B561&lt;&gt;"",K561="C"),B561,"")</f>
        <v/>
      </c>
    </row>
    <row r="562">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f>IF(AND(A562&lt;&gt;"Y",B562&lt;&gt;""),B562,"")</f>
        <v/>
      </c>
      <c r="Z562">
        <f>IF(AND(A562&lt;&gt;"Y",B562&lt;&gt;"",K562="C"),B562,"")</f>
        <v/>
      </c>
    </row>
    <row r="563">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f>IF(AND(A563&lt;&gt;"Y",B563&lt;&gt;""),B563,"")</f>
        <v/>
      </c>
      <c r="Z563">
        <f>IF(AND(A563&lt;&gt;"Y",B563&lt;&gt;"",K563="C"),B563,"")</f>
        <v/>
      </c>
    </row>
    <row r="564">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f>IF(AND(A564&lt;&gt;"Y",B564&lt;&gt;""),B564,"")</f>
        <v/>
      </c>
      <c r="Z564">
        <f>IF(AND(A564&lt;&gt;"Y",B564&lt;&gt;"",K564="C"),B564,"")</f>
        <v/>
      </c>
    </row>
    <row r="565">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f>IF(AND(A565&lt;&gt;"Y",B565&lt;&gt;""),B565,"")</f>
        <v/>
      </c>
      <c r="Z565">
        <f>IF(AND(A565&lt;&gt;"Y",B565&lt;&gt;"",K565="C"),B565,"")</f>
        <v/>
      </c>
    </row>
    <row r="566">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f>IF(AND(A566&lt;&gt;"Y",B566&lt;&gt;""),B566,"")</f>
        <v/>
      </c>
      <c r="Z566">
        <f>IF(AND(A566&lt;&gt;"Y",B566&lt;&gt;"",K566="C"),B566,"")</f>
        <v/>
      </c>
    </row>
    <row r="567">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f>IF(AND(A567&lt;&gt;"Y",B567&lt;&gt;""),B567,"")</f>
        <v/>
      </c>
      <c r="Z567">
        <f>IF(AND(A567&lt;&gt;"Y",B567&lt;&gt;"",K567="C"),B567,"")</f>
        <v/>
      </c>
    </row>
    <row r="568">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f>IF(AND(A568&lt;&gt;"Y",B568&lt;&gt;""),B568,"")</f>
        <v/>
      </c>
      <c r="Z568">
        <f>IF(AND(A568&lt;&gt;"Y",B568&lt;&gt;"",K568="C"),B568,"")</f>
        <v/>
      </c>
    </row>
    <row r="569">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f>IF(AND(A569&lt;&gt;"Y",B569&lt;&gt;""),B569,"")</f>
        <v/>
      </c>
      <c r="Z569">
        <f>IF(AND(A569&lt;&gt;"Y",B569&lt;&gt;"",K569="C"),B569,"")</f>
        <v/>
      </c>
    </row>
    <row r="570">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f>IF(AND(A570&lt;&gt;"Y",B570&lt;&gt;""),B570,"")</f>
        <v/>
      </c>
      <c r="Z570">
        <f>IF(AND(A570&lt;&gt;"Y",B570&lt;&gt;"",K570="C"),B570,"")</f>
        <v/>
      </c>
    </row>
    <row r="571">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f>IF(AND(A571&lt;&gt;"Y",B571&lt;&gt;""),B571,"")</f>
        <v/>
      </c>
      <c r="Z571">
        <f>IF(AND(A571&lt;&gt;"Y",B571&lt;&gt;"",K571="C"),B571,"")</f>
        <v/>
      </c>
    </row>
    <row r="572">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f>IF(AND(A572&lt;&gt;"Y",B572&lt;&gt;""),B572,"")</f>
        <v/>
      </c>
      <c r="Z572">
        <f>IF(AND(A572&lt;&gt;"Y",B572&lt;&gt;"",K572="C"),B572,"")</f>
        <v/>
      </c>
    </row>
    <row r="573">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f>IF(AND(A573&lt;&gt;"Y",B573&lt;&gt;""),B573,"")</f>
        <v/>
      </c>
      <c r="Z573">
        <f>IF(AND(A573&lt;&gt;"Y",B573&lt;&gt;"",K573="C"),B573,"")</f>
        <v/>
      </c>
    </row>
    <row r="574">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f>IF(AND(A574&lt;&gt;"Y",B574&lt;&gt;""),B574,"")</f>
        <v/>
      </c>
      <c r="Z574">
        <f>IF(AND(A574&lt;&gt;"Y",B574&lt;&gt;"",K574="C"),B574,"")</f>
        <v/>
      </c>
    </row>
    <row r="575">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f>IF(AND(A575&lt;&gt;"Y",B575&lt;&gt;""),B575,"")</f>
        <v/>
      </c>
      <c r="Z575">
        <f>IF(AND(A575&lt;&gt;"Y",B575&lt;&gt;"",K575="C"),B575,"")</f>
        <v/>
      </c>
    </row>
    <row r="576">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f>IF(AND(A576&lt;&gt;"Y",B576&lt;&gt;""),B576,"")</f>
        <v/>
      </c>
      <c r="Z576">
        <f>IF(AND(A576&lt;&gt;"Y",B576&lt;&gt;"",K576="C"),B576,"")</f>
        <v/>
      </c>
    </row>
    <row r="577">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f>IF(AND(A577&lt;&gt;"Y",B577&lt;&gt;""),B577,"")</f>
        <v/>
      </c>
      <c r="Z577">
        <f>IF(AND(A577&lt;&gt;"Y",B577&lt;&gt;"",K577="C"),B577,"")</f>
        <v/>
      </c>
    </row>
    <row r="578">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f>IF(AND(A578&lt;&gt;"Y",B578&lt;&gt;""),B578,"")</f>
        <v/>
      </c>
      <c r="Z578">
        <f>IF(AND(A578&lt;&gt;"Y",B578&lt;&gt;"",K578="C"),B578,"")</f>
        <v/>
      </c>
    </row>
    <row r="579">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f>IF(AND(A579&lt;&gt;"Y",B579&lt;&gt;""),B579,"")</f>
        <v/>
      </c>
      <c r="Z579">
        <f>IF(AND(A579&lt;&gt;"Y",B579&lt;&gt;"",K579="C"),B579,"")</f>
        <v/>
      </c>
    </row>
    <row r="580">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f>IF(AND(A580&lt;&gt;"Y",B580&lt;&gt;""),B580,"")</f>
        <v/>
      </c>
      <c r="Z580">
        <f>IF(AND(A580&lt;&gt;"Y",B580&lt;&gt;"",K580="C"),B580,"")</f>
        <v/>
      </c>
    </row>
    <row r="581">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f>IF(AND(A581&lt;&gt;"Y",B581&lt;&gt;""),B581,"")</f>
        <v/>
      </c>
      <c r="Z581">
        <f>IF(AND(A581&lt;&gt;"Y",B581&lt;&gt;"",K581="C"),B581,"")</f>
        <v/>
      </c>
    </row>
    <row r="582">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f>IF(AND(A582&lt;&gt;"Y",B582&lt;&gt;""),B582,"")</f>
        <v/>
      </c>
      <c r="Z582">
        <f>IF(AND(A582&lt;&gt;"Y",B582&lt;&gt;"",K582="C"),B582,"")</f>
        <v/>
      </c>
    </row>
    <row r="583">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f>IF(AND(A583&lt;&gt;"Y",B583&lt;&gt;""),B583,"")</f>
        <v/>
      </c>
      <c r="Z583">
        <f>IF(AND(A583&lt;&gt;"Y",B583&lt;&gt;"",K583="C"),B583,"")</f>
        <v/>
      </c>
    </row>
    <row r="584">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f>IF(AND(A584&lt;&gt;"Y",B584&lt;&gt;""),B584,"")</f>
        <v/>
      </c>
      <c r="Z584">
        <f>IF(AND(A584&lt;&gt;"Y",B584&lt;&gt;"",K584="C"),B584,"")</f>
        <v/>
      </c>
    </row>
    <row r="585">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f>IF(AND(A585&lt;&gt;"Y",B585&lt;&gt;""),B585,"")</f>
        <v/>
      </c>
      <c r="Z585">
        <f>IF(AND(A585&lt;&gt;"Y",B585&lt;&gt;"",K585="C"),B585,"")</f>
        <v/>
      </c>
    </row>
    <row r="586">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f>IF(AND(A586&lt;&gt;"Y",B586&lt;&gt;""),B586,"")</f>
        <v/>
      </c>
      <c r="Z586">
        <f>IF(AND(A586&lt;&gt;"Y",B586&lt;&gt;"",K586="C"),B586,"")</f>
        <v/>
      </c>
    </row>
    <row r="587">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f>IF(AND(A587&lt;&gt;"Y",B587&lt;&gt;""),B587,"")</f>
        <v/>
      </c>
      <c r="Z587">
        <f>IF(AND(A587&lt;&gt;"Y",B587&lt;&gt;"",K587="C"),B587,"")</f>
        <v/>
      </c>
    </row>
    <row r="588">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f>IF(AND(A588&lt;&gt;"Y",B588&lt;&gt;""),B588,"")</f>
        <v/>
      </c>
      <c r="Z588">
        <f>IF(AND(A588&lt;&gt;"Y",B588&lt;&gt;"",K588="C"),B588,"")</f>
        <v/>
      </c>
    </row>
    <row r="589">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f>IF(AND(A589&lt;&gt;"Y",B589&lt;&gt;""),B589,"")</f>
        <v/>
      </c>
      <c r="Z589">
        <f>IF(AND(A589&lt;&gt;"Y",B589&lt;&gt;"",K589="C"),B589,"")</f>
        <v/>
      </c>
    </row>
    <row r="590">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f>IF(AND(A590&lt;&gt;"Y",B590&lt;&gt;""),B590,"")</f>
        <v/>
      </c>
      <c r="Z590">
        <f>IF(AND(A590&lt;&gt;"Y",B590&lt;&gt;"",K590="C"),B590,"")</f>
        <v/>
      </c>
    </row>
    <row r="591">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f>IF(AND(A591&lt;&gt;"Y",B591&lt;&gt;""),B591,"")</f>
        <v/>
      </c>
      <c r="Z591">
        <f>IF(AND(A591&lt;&gt;"Y",B591&lt;&gt;"",K591="C"),B591,"")</f>
        <v/>
      </c>
    </row>
    <row r="592">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f>IF(AND(A592&lt;&gt;"Y",B592&lt;&gt;""),B592,"")</f>
        <v/>
      </c>
      <c r="Z592">
        <f>IF(AND(A592&lt;&gt;"Y",B592&lt;&gt;"",K592="C"),B592,"")</f>
        <v/>
      </c>
    </row>
    <row r="593">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f>IF(AND(A593&lt;&gt;"Y",B593&lt;&gt;""),B593,"")</f>
        <v/>
      </c>
      <c r="Z593">
        <f>IF(AND(A593&lt;&gt;"Y",B593&lt;&gt;"",K593="C"),B593,"")</f>
        <v/>
      </c>
    </row>
    <row r="594">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f>IF(AND(A594&lt;&gt;"Y",B594&lt;&gt;""),B594,"")</f>
        <v/>
      </c>
      <c r="Z594">
        <f>IF(AND(A594&lt;&gt;"Y",B594&lt;&gt;"",K594="C"),B594,"")</f>
        <v/>
      </c>
    </row>
    <row r="595">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f>IF(AND(A595&lt;&gt;"Y",B595&lt;&gt;""),B595,"")</f>
        <v/>
      </c>
      <c r="Z595">
        <f>IF(AND(A595&lt;&gt;"Y",B595&lt;&gt;"",K595="C"),B595,"")</f>
        <v/>
      </c>
    </row>
    <row r="596">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f>IF(AND(A596&lt;&gt;"Y",B596&lt;&gt;""),B596,"")</f>
        <v/>
      </c>
      <c r="Z596">
        <f>IF(AND(A596&lt;&gt;"Y",B596&lt;&gt;"",K596="C"),B596,"")</f>
        <v/>
      </c>
    </row>
    <row r="597">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f>IF(AND(A597&lt;&gt;"Y",B597&lt;&gt;""),B597,"")</f>
        <v/>
      </c>
      <c r="Z597">
        <f>IF(AND(A597&lt;&gt;"Y",B597&lt;&gt;"",K597="C"),B597,"")</f>
        <v/>
      </c>
    </row>
    <row r="598">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f>IF(AND(A598&lt;&gt;"Y",B598&lt;&gt;""),B598,"")</f>
        <v/>
      </c>
      <c r="Z598">
        <f>IF(AND(A598&lt;&gt;"Y",B598&lt;&gt;"",K598="C"),B598,"")</f>
        <v/>
      </c>
    </row>
    <row r="599">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f>IF(AND(A599&lt;&gt;"Y",B599&lt;&gt;""),B599,"")</f>
        <v/>
      </c>
      <c r="Z599">
        <f>IF(AND(A599&lt;&gt;"Y",B599&lt;&gt;"",K599="C"),B599,"")</f>
        <v/>
      </c>
    </row>
    <row r="600">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f>IF(AND(A600&lt;&gt;"Y",B600&lt;&gt;""),B600,"")</f>
        <v/>
      </c>
      <c r="Z600">
        <f>IF(AND(A600&lt;&gt;"Y",B600&lt;&gt;"",K600="C"),B600,"")</f>
        <v/>
      </c>
    </row>
    <row r="601">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f>IF(AND(A601&lt;&gt;"Y",B601&lt;&gt;""),B601,"")</f>
        <v/>
      </c>
      <c r="Z601">
        <f>IF(AND(A601&lt;&gt;"Y",B601&lt;&gt;"",K601="C"),B601,"")</f>
        <v/>
      </c>
    </row>
    <row r="602">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f>IF(AND(A602&lt;&gt;"Y",B602&lt;&gt;""),B602,"")</f>
        <v/>
      </c>
      <c r="Z602">
        <f>IF(AND(A602&lt;&gt;"Y",B602&lt;&gt;"",K602="C"),B602,"")</f>
        <v/>
      </c>
    </row>
    <row r="603">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f>IF(AND(A603&lt;&gt;"Y",B603&lt;&gt;""),B603,"")</f>
        <v/>
      </c>
      <c r="Z603">
        <f>IF(AND(A603&lt;&gt;"Y",B603&lt;&gt;"",K603="C"),B603,"")</f>
        <v/>
      </c>
    </row>
    <row r="604">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f>IF(AND(A604&lt;&gt;"Y",B604&lt;&gt;""),B604,"")</f>
        <v/>
      </c>
      <c r="Z604">
        <f>IF(AND(A604&lt;&gt;"Y",B604&lt;&gt;"",K604="C"),B604,"")</f>
        <v/>
      </c>
    </row>
    <row r="605">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f>IF(AND(A605&lt;&gt;"Y",B605&lt;&gt;""),B605,"")</f>
        <v/>
      </c>
      <c r="Z605">
        <f>IF(AND(A605&lt;&gt;"Y",B605&lt;&gt;"",K605="C"),B605,"")</f>
        <v/>
      </c>
    </row>
    <row r="606">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f>IF(AND(A606&lt;&gt;"Y",B606&lt;&gt;""),B606,"")</f>
        <v/>
      </c>
      <c r="Z606">
        <f>IF(AND(A606&lt;&gt;"Y",B606&lt;&gt;"",K606="C"),B606,"")</f>
        <v/>
      </c>
    </row>
    <row r="607">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f>IF(AND(A607&lt;&gt;"Y",B607&lt;&gt;""),B607,"")</f>
        <v/>
      </c>
      <c r="Z607">
        <f>IF(AND(A607&lt;&gt;"Y",B607&lt;&gt;"",K607="C"),B607,"")</f>
        <v/>
      </c>
    </row>
    <row r="608">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f>IF(AND(A608&lt;&gt;"Y",B608&lt;&gt;""),B608,"")</f>
        <v/>
      </c>
      <c r="Z608">
        <f>IF(AND(A608&lt;&gt;"Y",B608&lt;&gt;"",K608="C"),B608,"")</f>
        <v/>
      </c>
    </row>
    <row r="609">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f>IF(AND(A609&lt;&gt;"Y",B609&lt;&gt;""),B609,"")</f>
        <v/>
      </c>
      <c r="Z609">
        <f>IF(AND(A609&lt;&gt;"Y",B609&lt;&gt;"",K609="C"),B609,"")</f>
        <v/>
      </c>
    </row>
    <row r="610">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f>IF(AND(A610&lt;&gt;"Y",B610&lt;&gt;""),B610,"")</f>
        <v/>
      </c>
      <c r="Z610">
        <f>IF(AND(A610&lt;&gt;"Y",B610&lt;&gt;"",K610="C"),B610,"")</f>
        <v/>
      </c>
    </row>
    <row r="611">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f>IF(AND(A611&lt;&gt;"Y",B611&lt;&gt;""),B611,"")</f>
        <v/>
      </c>
      <c r="Z611">
        <f>IF(AND(A611&lt;&gt;"Y",B611&lt;&gt;"",K611="C"),B611,"")</f>
        <v/>
      </c>
    </row>
    <row r="612">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f>IF(AND(A612&lt;&gt;"Y",B612&lt;&gt;""),B612,"")</f>
        <v/>
      </c>
      <c r="Z612">
        <f>IF(AND(A612&lt;&gt;"Y",B612&lt;&gt;"",K612="C"),B612,"")</f>
        <v/>
      </c>
    </row>
    <row r="613">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f>IF(AND(A613&lt;&gt;"Y",B613&lt;&gt;""),B613,"")</f>
        <v/>
      </c>
      <c r="Z613">
        <f>IF(AND(A613&lt;&gt;"Y",B613&lt;&gt;"",K613="C"),B613,"")</f>
        <v/>
      </c>
    </row>
    <row r="614">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f>IF(AND(A614&lt;&gt;"Y",B614&lt;&gt;""),B614,"")</f>
        <v/>
      </c>
      <c r="Z614">
        <f>IF(AND(A614&lt;&gt;"Y",B614&lt;&gt;"",K614="C"),B614,"")</f>
        <v/>
      </c>
    </row>
    <row r="615">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f>IF(AND(A615&lt;&gt;"Y",B615&lt;&gt;""),B615,"")</f>
        <v/>
      </c>
      <c r="Z615">
        <f>IF(AND(A615&lt;&gt;"Y",B615&lt;&gt;"",K615="C"),B615,"")</f>
        <v/>
      </c>
    </row>
    <row r="616">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f>IF(AND(A616&lt;&gt;"Y",B616&lt;&gt;""),B616,"")</f>
        <v/>
      </c>
      <c r="Z616">
        <f>IF(AND(A616&lt;&gt;"Y",B616&lt;&gt;"",K616="C"),B616,"")</f>
        <v/>
      </c>
    </row>
    <row r="617">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f>IF(AND(A617&lt;&gt;"Y",B617&lt;&gt;""),B617,"")</f>
        <v/>
      </c>
      <c r="Z617">
        <f>IF(AND(A617&lt;&gt;"Y",B617&lt;&gt;"",K617="C"),B617,"")</f>
        <v/>
      </c>
    </row>
    <row r="618">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f>IF(AND(A618&lt;&gt;"Y",B618&lt;&gt;""),B618,"")</f>
        <v/>
      </c>
      <c r="Z618">
        <f>IF(AND(A618&lt;&gt;"Y",B618&lt;&gt;"",K618="C"),B618,"")</f>
        <v/>
      </c>
    </row>
    <row r="619">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f>IF(AND(A619&lt;&gt;"Y",B619&lt;&gt;""),B619,"")</f>
        <v/>
      </c>
      <c r="Z619">
        <f>IF(AND(A619&lt;&gt;"Y",B619&lt;&gt;"",K619="C"),B619,"")</f>
        <v/>
      </c>
    </row>
    <row r="620">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f>IF(AND(A620&lt;&gt;"Y",B620&lt;&gt;""),B620,"")</f>
        <v/>
      </c>
      <c r="Z620">
        <f>IF(AND(A620&lt;&gt;"Y",B620&lt;&gt;"",K620="C"),B620,"")</f>
        <v/>
      </c>
    </row>
    <row r="621">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f>IF(AND(A621&lt;&gt;"Y",B621&lt;&gt;""),B621,"")</f>
        <v/>
      </c>
      <c r="Z621">
        <f>IF(AND(A621&lt;&gt;"Y",B621&lt;&gt;"",K621="C"),B621,"")</f>
        <v/>
      </c>
    </row>
    <row r="622">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f>IF(AND(A622&lt;&gt;"Y",B622&lt;&gt;""),B622,"")</f>
        <v/>
      </c>
      <c r="Z622">
        <f>IF(AND(A622&lt;&gt;"Y",B622&lt;&gt;"",K622="C"),B622,"")</f>
        <v/>
      </c>
    </row>
    <row r="623">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f>IF(AND(A623&lt;&gt;"Y",B623&lt;&gt;""),B623,"")</f>
        <v/>
      </c>
      <c r="Z623">
        <f>IF(AND(A623&lt;&gt;"Y",B623&lt;&gt;"",K623="C"),B623,"")</f>
        <v/>
      </c>
    </row>
    <row r="624">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f>IF(AND(A624&lt;&gt;"Y",B624&lt;&gt;""),B624,"")</f>
        <v/>
      </c>
      <c r="Z624">
        <f>IF(AND(A624&lt;&gt;"Y",B624&lt;&gt;"",K624="C"),B624,"")</f>
        <v/>
      </c>
    </row>
    <row r="625">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f>IF(AND(A625&lt;&gt;"Y",B625&lt;&gt;""),B625,"")</f>
        <v/>
      </c>
      <c r="Z625">
        <f>IF(AND(A625&lt;&gt;"Y",B625&lt;&gt;"",K625="C"),B625,"")</f>
        <v/>
      </c>
    </row>
    <row r="626">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f>IF(AND(A626&lt;&gt;"Y",B626&lt;&gt;""),B626,"")</f>
        <v/>
      </c>
      <c r="Z626">
        <f>IF(AND(A626&lt;&gt;"Y",B626&lt;&gt;"",K626="C"),B626,"")</f>
        <v/>
      </c>
    </row>
    <row r="627">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f>IF(AND(A627&lt;&gt;"Y",B627&lt;&gt;""),B627,"")</f>
        <v/>
      </c>
      <c r="Z627">
        <f>IF(AND(A627&lt;&gt;"Y",B627&lt;&gt;"",K627="C"),B627,"")</f>
        <v/>
      </c>
    </row>
    <row r="628">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f>IF(AND(A628&lt;&gt;"Y",B628&lt;&gt;""),B628,"")</f>
        <v/>
      </c>
      <c r="Z628">
        <f>IF(AND(A628&lt;&gt;"Y",B628&lt;&gt;"",K628="C"),B628,"")</f>
        <v/>
      </c>
    </row>
    <row r="629">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f>IF(AND(A629&lt;&gt;"Y",B629&lt;&gt;""),B629,"")</f>
        <v/>
      </c>
      <c r="Z629">
        <f>IF(AND(A629&lt;&gt;"Y",B629&lt;&gt;"",K629="C"),B629,"")</f>
        <v/>
      </c>
    </row>
    <row r="630">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f>IF(AND(A630&lt;&gt;"Y",B630&lt;&gt;""),B630,"")</f>
        <v/>
      </c>
      <c r="Z630">
        <f>IF(AND(A630&lt;&gt;"Y",B630&lt;&gt;"",K630="C"),B630,"")</f>
        <v/>
      </c>
    </row>
    <row r="631">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f>IF(AND(A631&lt;&gt;"Y",B631&lt;&gt;""),B631,"")</f>
        <v/>
      </c>
      <c r="Z631">
        <f>IF(AND(A631&lt;&gt;"Y",B631&lt;&gt;"",K631="C"),B631,"")</f>
        <v/>
      </c>
    </row>
    <row r="632">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f>IF(AND(A632&lt;&gt;"Y",B632&lt;&gt;""),B632,"")</f>
        <v/>
      </c>
      <c r="Z632">
        <f>IF(AND(A632&lt;&gt;"Y",B632&lt;&gt;"",K632="C"),B632,"")</f>
        <v/>
      </c>
    </row>
    <row r="633">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f>IF(AND(A633&lt;&gt;"Y",B633&lt;&gt;""),B633,"")</f>
        <v/>
      </c>
      <c r="Z633">
        <f>IF(AND(A633&lt;&gt;"Y",B633&lt;&gt;"",K633="C"),B633,"")</f>
        <v/>
      </c>
    </row>
    <row r="634">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f>IF(AND(A634&lt;&gt;"Y",B634&lt;&gt;""),B634,"")</f>
        <v/>
      </c>
      <c r="Z634">
        <f>IF(AND(A634&lt;&gt;"Y",B634&lt;&gt;"",K634="C"),B634,"")</f>
        <v/>
      </c>
    </row>
    <row r="635">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f>IF(AND(A635&lt;&gt;"Y",B635&lt;&gt;""),B635,"")</f>
        <v/>
      </c>
      <c r="Z635">
        <f>IF(AND(A635&lt;&gt;"Y",B635&lt;&gt;"",K635="C"),B635,"")</f>
        <v/>
      </c>
    </row>
    <row r="636">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f>IF(AND(A636&lt;&gt;"Y",B636&lt;&gt;""),B636,"")</f>
        <v/>
      </c>
      <c r="Z636">
        <f>IF(AND(A636&lt;&gt;"Y",B636&lt;&gt;"",K636="C"),B636,"")</f>
        <v/>
      </c>
    </row>
    <row r="637">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f>IF(AND(A637&lt;&gt;"Y",B637&lt;&gt;""),B637,"")</f>
        <v/>
      </c>
      <c r="Z637">
        <f>IF(AND(A637&lt;&gt;"Y",B637&lt;&gt;"",K637="C"),B637,"")</f>
        <v/>
      </c>
    </row>
    <row r="638">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f>IF(AND(A638&lt;&gt;"Y",B638&lt;&gt;""),B638,"")</f>
        <v/>
      </c>
      <c r="Z638">
        <f>IF(AND(A638&lt;&gt;"Y",B638&lt;&gt;"",K638="C"),B638,"")</f>
        <v/>
      </c>
    </row>
    <row r="639">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f>IF(AND(A639&lt;&gt;"Y",B639&lt;&gt;""),B639,"")</f>
        <v/>
      </c>
      <c r="Z639">
        <f>IF(AND(A639&lt;&gt;"Y",B639&lt;&gt;"",K639="C"),B639,"")</f>
        <v/>
      </c>
    </row>
    <row r="640">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f>IF(AND(A640&lt;&gt;"Y",B640&lt;&gt;""),B640,"")</f>
        <v/>
      </c>
      <c r="Z640">
        <f>IF(AND(A640&lt;&gt;"Y",B640&lt;&gt;"",K640="C"),B640,"")</f>
        <v/>
      </c>
    </row>
    <row r="641">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f>IF(AND(A641&lt;&gt;"Y",B641&lt;&gt;""),B641,"")</f>
        <v/>
      </c>
      <c r="Z641">
        <f>IF(AND(A641&lt;&gt;"Y",B641&lt;&gt;"",K641="C"),B641,"")</f>
        <v/>
      </c>
    </row>
    <row r="642">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f>IF(AND(A642&lt;&gt;"Y",B642&lt;&gt;""),B642,"")</f>
        <v/>
      </c>
      <c r="Z642">
        <f>IF(AND(A642&lt;&gt;"Y",B642&lt;&gt;"",K642="C"),B642,"")</f>
        <v/>
      </c>
    </row>
    <row r="643">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f>IF(AND(A643&lt;&gt;"Y",B643&lt;&gt;""),B643,"")</f>
        <v/>
      </c>
      <c r="Z643">
        <f>IF(AND(A643&lt;&gt;"Y",B643&lt;&gt;"",K643="C"),B643,"")</f>
        <v/>
      </c>
    </row>
    <row r="644">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f>IF(AND(A644&lt;&gt;"Y",B644&lt;&gt;""),B644,"")</f>
        <v/>
      </c>
      <c r="Z644">
        <f>IF(AND(A644&lt;&gt;"Y",B644&lt;&gt;"",K644="C"),B644,"")</f>
        <v/>
      </c>
    </row>
    <row r="645">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f>IF(AND(A645&lt;&gt;"Y",B645&lt;&gt;""),B645,"")</f>
        <v/>
      </c>
      <c r="Z645">
        <f>IF(AND(A645&lt;&gt;"Y",B645&lt;&gt;"",K645="C"),B645,"")</f>
        <v/>
      </c>
    </row>
    <row r="646">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f>IF(AND(A646&lt;&gt;"Y",B646&lt;&gt;""),B646,"")</f>
        <v/>
      </c>
      <c r="Z646">
        <f>IF(AND(A646&lt;&gt;"Y",B646&lt;&gt;"",K646="C"),B646,"")</f>
        <v/>
      </c>
    </row>
    <row r="647">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f>IF(AND(A647&lt;&gt;"Y",B647&lt;&gt;""),B647,"")</f>
        <v/>
      </c>
      <c r="Z647">
        <f>IF(AND(A647&lt;&gt;"Y",B647&lt;&gt;"",K647="C"),B647,"")</f>
        <v/>
      </c>
    </row>
    <row r="648">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f>IF(AND(A648&lt;&gt;"Y",B648&lt;&gt;""),B648,"")</f>
        <v/>
      </c>
      <c r="Z648">
        <f>IF(AND(A648&lt;&gt;"Y",B648&lt;&gt;"",K648="C"),B648,"")</f>
        <v/>
      </c>
    </row>
    <row r="649">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f>IF(AND(A649&lt;&gt;"Y",B649&lt;&gt;""),B649,"")</f>
        <v/>
      </c>
      <c r="Z649">
        <f>IF(AND(A649&lt;&gt;"Y",B649&lt;&gt;"",K649="C"),B649,"")</f>
        <v/>
      </c>
    </row>
    <row r="650">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f>IF(AND(A650&lt;&gt;"Y",B650&lt;&gt;""),B650,"")</f>
        <v/>
      </c>
      <c r="Z650">
        <f>IF(AND(A650&lt;&gt;"Y",B650&lt;&gt;"",K650="C"),B650,"")</f>
        <v/>
      </c>
    </row>
    <row r="651">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f>IF(AND(A651&lt;&gt;"Y",B651&lt;&gt;""),B651,"")</f>
        <v/>
      </c>
      <c r="Z651">
        <f>IF(AND(A651&lt;&gt;"Y",B651&lt;&gt;"",K651="C"),B651,"")</f>
        <v/>
      </c>
    </row>
    <row r="652">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f>IF(AND(A652&lt;&gt;"Y",B652&lt;&gt;""),B652,"")</f>
        <v/>
      </c>
      <c r="Z652">
        <f>IF(AND(A652&lt;&gt;"Y",B652&lt;&gt;"",K652="C"),B652,"")</f>
        <v/>
      </c>
    </row>
    <row r="653">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f>IF(AND(A653&lt;&gt;"Y",B653&lt;&gt;""),B653,"")</f>
        <v/>
      </c>
      <c r="Z653">
        <f>IF(AND(A653&lt;&gt;"Y",B653&lt;&gt;"",K653="C"),B653,"")</f>
        <v/>
      </c>
    </row>
    <row r="654">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f>IF(AND(A654&lt;&gt;"Y",B654&lt;&gt;""),B654,"")</f>
        <v/>
      </c>
      <c r="Z654">
        <f>IF(AND(A654&lt;&gt;"Y",B654&lt;&gt;"",K654="C"),B654,"")</f>
        <v/>
      </c>
    </row>
    <row r="655">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f>IF(AND(A655&lt;&gt;"Y",B655&lt;&gt;""),B655,"")</f>
        <v/>
      </c>
      <c r="Z655">
        <f>IF(AND(A655&lt;&gt;"Y",B655&lt;&gt;"",K655="C"),B655,"")</f>
        <v/>
      </c>
    </row>
    <row r="656">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f>IF(AND(A656&lt;&gt;"Y",B656&lt;&gt;""),B656,"")</f>
        <v/>
      </c>
      <c r="Z656">
        <f>IF(AND(A656&lt;&gt;"Y",B656&lt;&gt;"",K656="C"),B656,"")</f>
        <v/>
      </c>
    </row>
    <row r="657">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f>IF(AND(A657&lt;&gt;"Y",B657&lt;&gt;""),B657,"")</f>
        <v/>
      </c>
      <c r="Z657">
        <f>IF(AND(A657&lt;&gt;"Y",B657&lt;&gt;"",K657="C"),B657,"")</f>
        <v/>
      </c>
    </row>
    <row r="658">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f>IF(AND(A658&lt;&gt;"Y",B658&lt;&gt;""),B658,"")</f>
        <v/>
      </c>
      <c r="Z658">
        <f>IF(AND(A658&lt;&gt;"Y",B658&lt;&gt;"",K658="C"),B658,"")</f>
        <v/>
      </c>
    </row>
    <row r="659">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f>IF(AND(A659&lt;&gt;"Y",B659&lt;&gt;""),B659,"")</f>
        <v/>
      </c>
      <c r="Z659">
        <f>IF(AND(A659&lt;&gt;"Y",B659&lt;&gt;"",K659="C"),B659,"")</f>
        <v/>
      </c>
    </row>
    <row r="660">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f>IF(AND(A660&lt;&gt;"Y",B660&lt;&gt;""),B660,"")</f>
        <v/>
      </c>
      <c r="Z660">
        <f>IF(AND(A660&lt;&gt;"Y",B660&lt;&gt;"",K660="C"),B660,"")</f>
        <v/>
      </c>
    </row>
    <row r="661">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f>IF(AND(A661&lt;&gt;"Y",B661&lt;&gt;""),B661,"")</f>
        <v/>
      </c>
      <c r="Z661">
        <f>IF(AND(A661&lt;&gt;"Y",B661&lt;&gt;"",K661="C"),B661,"")</f>
        <v/>
      </c>
    </row>
    <row r="662">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f>IF(AND(A662&lt;&gt;"Y",B662&lt;&gt;""),B662,"")</f>
        <v/>
      </c>
      <c r="Z662">
        <f>IF(AND(A662&lt;&gt;"Y",B662&lt;&gt;"",K662="C"),B662,"")</f>
        <v/>
      </c>
    </row>
    <row r="663">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f>IF(AND(A663&lt;&gt;"Y",B663&lt;&gt;""),B663,"")</f>
        <v/>
      </c>
      <c r="Z663">
        <f>IF(AND(A663&lt;&gt;"Y",B663&lt;&gt;"",K663="C"),B663,"")</f>
        <v/>
      </c>
    </row>
    <row r="664">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f>IF(AND(A664&lt;&gt;"Y",B664&lt;&gt;""),B664,"")</f>
        <v/>
      </c>
      <c r="Z664">
        <f>IF(AND(A664&lt;&gt;"Y",B664&lt;&gt;"",K664="C"),B664,"")</f>
        <v/>
      </c>
    </row>
    <row r="665">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f>IF(AND(A665&lt;&gt;"Y",B665&lt;&gt;""),B665,"")</f>
        <v/>
      </c>
      <c r="Z665">
        <f>IF(AND(A665&lt;&gt;"Y",B665&lt;&gt;"",K665="C"),B665,"")</f>
        <v/>
      </c>
    </row>
    <row r="666">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f>IF(AND(A666&lt;&gt;"Y",B666&lt;&gt;""),B666,"")</f>
        <v/>
      </c>
      <c r="Z666">
        <f>IF(AND(A666&lt;&gt;"Y",B666&lt;&gt;"",K666="C"),B666,"")</f>
        <v/>
      </c>
    </row>
    <row r="667">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f>IF(AND(A667&lt;&gt;"Y",B667&lt;&gt;""),B667,"")</f>
        <v/>
      </c>
      <c r="Z667">
        <f>IF(AND(A667&lt;&gt;"Y",B667&lt;&gt;"",K667="C"),B667,"")</f>
        <v/>
      </c>
    </row>
    <row r="668">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f>IF(AND(A668&lt;&gt;"Y",B668&lt;&gt;""),B668,"")</f>
        <v/>
      </c>
      <c r="Z668">
        <f>IF(AND(A668&lt;&gt;"Y",B668&lt;&gt;"",K668="C"),B668,"")</f>
        <v/>
      </c>
    </row>
    <row r="669">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f>IF(AND(A669&lt;&gt;"Y",B669&lt;&gt;""),B669,"")</f>
        <v/>
      </c>
      <c r="Z669">
        <f>IF(AND(A669&lt;&gt;"Y",B669&lt;&gt;"",K669="C"),B669,"")</f>
        <v/>
      </c>
    </row>
    <row r="670">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f>IF(AND(A670&lt;&gt;"Y",B670&lt;&gt;""),B670,"")</f>
        <v/>
      </c>
      <c r="Z670">
        <f>IF(AND(A670&lt;&gt;"Y",B670&lt;&gt;"",K670="C"),B670,"")</f>
        <v/>
      </c>
    </row>
    <row r="671">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f>IF(AND(A671&lt;&gt;"Y",B671&lt;&gt;""),B671,"")</f>
        <v/>
      </c>
      <c r="Z671">
        <f>IF(AND(A671&lt;&gt;"Y",B671&lt;&gt;"",K671="C"),B671,"")</f>
        <v/>
      </c>
    </row>
    <row r="672">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f>IF(AND(A672&lt;&gt;"Y",B672&lt;&gt;""),B672,"")</f>
        <v/>
      </c>
      <c r="Z672">
        <f>IF(AND(A672&lt;&gt;"Y",B672&lt;&gt;"",K672="C"),B672,"")</f>
        <v/>
      </c>
    </row>
    <row r="673">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f>IF(AND(A673&lt;&gt;"Y",B673&lt;&gt;""),B673,"")</f>
        <v/>
      </c>
      <c r="Z673">
        <f>IF(AND(A673&lt;&gt;"Y",B673&lt;&gt;"",K673="C"),B673,"")</f>
        <v/>
      </c>
    </row>
    <row r="674">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f>IF(AND(A674&lt;&gt;"Y",B674&lt;&gt;""),B674,"")</f>
        <v/>
      </c>
      <c r="Z674">
        <f>IF(AND(A674&lt;&gt;"Y",B674&lt;&gt;"",K674="C"),B674,"")</f>
        <v/>
      </c>
    </row>
    <row r="675">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f>IF(AND(A675&lt;&gt;"Y",B675&lt;&gt;""),B675,"")</f>
        <v/>
      </c>
      <c r="Z675">
        <f>IF(AND(A675&lt;&gt;"Y",B675&lt;&gt;"",K675="C"),B675,"")</f>
        <v/>
      </c>
    </row>
    <row r="676">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f>IF(AND(A676&lt;&gt;"Y",B676&lt;&gt;""),B676,"")</f>
        <v/>
      </c>
      <c r="Z676">
        <f>IF(AND(A676&lt;&gt;"Y",B676&lt;&gt;"",K676="C"),B676,"")</f>
        <v/>
      </c>
    </row>
    <row r="677">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f>IF(AND(A677&lt;&gt;"Y",B677&lt;&gt;""),B677,"")</f>
        <v/>
      </c>
      <c r="Z677">
        <f>IF(AND(A677&lt;&gt;"Y",B677&lt;&gt;"",K677="C"),B677,"")</f>
        <v/>
      </c>
    </row>
    <row r="678">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f>IF(AND(A678&lt;&gt;"Y",B678&lt;&gt;""),B678,"")</f>
        <v/>
      </c>
      <c r="Z678">
        <f>IF(AND(A678&lt;&gt;"Y",B678&lt;&gt;"",K678="C"),B678,"")</f>
        <v/>
      </c>
    </row>
    <row r="679">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f>IF(AND(A679&lt;&gt;"Y",B679&lt;&gt;""),B679,"")</f>
        <v/>
      </c>
      <c r="Z679">
        <f>IF(AND(A679&lt;&gt;"Y",B679&lt;&gt;"",K679="C"),B679,"")</f>
        <v/>
      </c>
    </row>
    <row r="680">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f>IF(AND(A680&lt;&gt;"Y",B680&lt;&gt;""),B680,"")</f>
        <v/>
      </c>
      <c r="Z680">
        <f>IF(AND(A680&lt;&gt;"Y",B680&lt;&gt;"",K680="C"),B680,"")</f>
        <v/>
      </c>
    </row>
    <row r="681">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f>IF(AND(A681&lt;&gt;"Y",B681&lt;&gt;""),B681,"")</f>
        <v/>
      </c>
      <c r="Z681">
        <f>IF(AND(A681&lt;&gt;"Y",B681&lt;&gt;"",K681="C"),B681,"")</f>
        <v/>
      </c>
    </row>
    <row r="682">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f>IF(AND(A682&lt;&gt;"Y",B682&lt;&gt;""),B682,"")</f>
        <v/>
      </c>
      <c r="Z682">
        <f>IF(AND(A682&lt;&gt;"Y",B682&lt;&gt;"",K682="C"),B682,"")</f>
        <v/>
      </c>
    </row>
    <row r="683">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f>IF(AND(A683&lt;&gt;"Y",B683&lt;&gt;""),B683,"")</f>
        <v/>
      </c>
      <c r="Z683">
        <f>IF(AND(A683&lt;&gt;"Y",B683&lt;&gt;"",K683="C"),B683,"")</f>
        <v/>
      </c>
    </row>
    <row r="684">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f>IF(AND(A684&lt;&gt;"Y",B684&lt;&gt;""),B684,"")</f>
        <v/>
      </c>
      <c r="Z684">
        <f>IF(AND(A684&lt;&gt;"Y",B684&lt;&gt;"",K684="C"),B684,"")</f>
        <v/>
      </c>
    </row>
    <row r="685">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f>IF(AND(A685&lt;&gt;"Y",B685&lt;&gt;""),B685,"")</f>
        <v/>
      </c>
      <c r="Z685">
        <f>IF(AND(A685&lt;&gt;"Y",B685&lt;&gt;"",K685="C"),B685,"")</f>
        <v/>
      </c>
    </row>
    <row r="686">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f>IF(AND(A686&lt;&gt;"Y",B686&lt;&gt;""),B686,"")</f>
        <v/>
      </c>
      <c r="Z686">
        <f>IF(AND(A686&lt;&gt;"Y",B686&lt;&gt;"",K686="C"),B686,"")</f>
        <v/>
      </c>
    </row>
    <row r="687">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f>IF(AND(A687&lt;&gt;"Y",B687&lt;&gt;""),B687,"")</f>
        <v/>
      </c>
      <c r="Z687">
        <f>IF(AND(A687&lt;&gt;"Y",B687&lt;&gt;"",K687="C"),B687,"")</f>
        <v/>
      </c>
    </row>
    <row r="688">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f>IF(AND(A688&lt;&gt;"Y",B688&lt;&gt;""),B688,"")</f>
        <v/>
      </c>
      <c r="Z688">
        <f>IF(AND(A688&lt;&gt;"Y",B688&lt;&gt;"",K688="C"),B688,"")</f>
        <v/>
      </c>
    </row>
    <row r="689">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f>IF(AND(A689&lt;&gt;"Y",B689&lt;&gt;""),B689,"")</f>
        <v/>
      </c>
      <c r="Z689">
        <f>IF(AND(A689&lt;&gt;"Y",B689&lt;&gt;"",K689="C"),B689,"")</f>
        <v/>
      </c>
    </row>
    <row r="690">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f>IF(AND(A690&lt;&gt;"Y",B690&lt;&gt;""),B690,"")</f>
        <v/>
      </c>
      <c r="Z690">
        <f>IF(AND(A690&lt;&gt;"Y",B690&lt;&gt;"",K690="C"),B690,"")</f>
        <v/>
      </c>
    </row>
    <row r="691">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f>IF(AND(A691&lt;&gt;"Y",B691&lt;&gt;""),B691,"")</f>
        <v/>
      </c>
      <c r="Z691">
        <f>IF(AND(A691&lt;&gt;"Y",B691&lt;&gt;"",K691="C"),B691,"")</f>
        <v/>
      </c>
    </row>
    <row r="692">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f>IF(AND(A692&lt;&gt;"Y",B692&lt;&gt;""),B692,"")</f>
        <v/>
      </c>
      <c r="Z692">
        <f>IF(AND(A692&lt;&gt;"Y",B692&lt;&gt;"",K692="C"),B692,"")</f>
        <v/>
      </c>
    </row>
    <row r="693">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f>IF(AND(A693&lt;&gt;"Y",B693&lt;&gt;""),B693,"")</f>
        <v/>
      </c>
      <c r="Z693">
        <f>IF(AND(A693&lt;&gt;"Y",B693&lt;&gt;"",K693="C"),B693,"")</f>
        <v/>
      </c>
    </row>
    <row r="694">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f>IF(AND(A694&lt;&gt;"Y",B694&lt;&gt;""),B694,"")</f>
        <v/>
      </c>
      <c r="Z694">
        <f>IF(AND(A694&lt;&gt;"Y",B694&lt;&gt;"",K694="C"),B694,"")</f>
        <v/>
      </c>
    </row>
    <row r="695">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f>IF(AND(A695&lt;&gt;"Y",B695&lt;&gt;""),B695,"")</f>
        <v/>
      </c>
      <c r="Z695">
        <f>IF(AND(A695&lt;&gt;"Y",B695&lt;&gt;"",K695="C"),B695,"")</f>
        <v/>
      </c>
    </row>
    <row r="696">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f>IF(AND(A696&lt;&gt;"Y",B696&lt;&gt;""),B696,"")</f>
        <v/>
      </c>
      <c r="Z696">
        <f>IF(AND(A696&lt;&gt;"Y",B696&lt;&gt;"",K696="C"),B696,"")</f>
        <v/>
      </c>
    </row>
    <row r="697">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f>IF(AND(A697&lt;&gt;"Y",B697&lt;&gt;""),B697,"")</f>
        <v/>
      </c>
      <c r="Z697">
        <f>IF(AND(A697&lt;&gt;"Y",B697&lt;&gt;"",K697="C"),B697,"")</f>
        <v/>
      </c>
    </row>
    <row r="698">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f>IF(AND(A698&lt;&gt;"Y",B698&lt;&gt;""),B698,"")</f>
        <v/>
      </c>
      <c r="Z698">
        <f>IF(AND(A698&lt;&gt;"Y",B698&lt;&gt;"",K698="C"),B698,"")</f>
        <v/>
      </c>
    </row>
    <row r="699">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f>IF(AND(A699&lt;&gt;"Y",B699&lt;&gt;""),B699,"")</f>
        <v/>
      </c>
      <c r="Z699">
        <f>IF(AND(A699&lt;&gt;"Y",B699&lt;&gt;"",K699="C"),B699,"")</f>
        <v/>
      </c>
    </row>
    <row r="700">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f>IF(AND(A700&lt;&gt;"Y",B700&lt;&gt;""),B700,"")</f>
        <v/>
      </c>
      <c r="Z700">
        <f>IF(AND(A700&lt;&gt;"Y",B700&lt;&gt;"",K700="C"),B700,"")</f>
        <v/>
      </c>
    </row>
    <row r="701">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f>IF(AND(A701&lt;&gt;"Y",B701&lt;&gt;""),B701,"")</f>
        <v/>
      </c>
      <c r="Z701">
        <f>IF(AND(A701&lt;&gt;"Y",B701&lt;&gt;"",K701="C"),B701,"")</f>
        <v/>
      </c>
    </row>
    <row r="702">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f>IF(AND(A702&lt;&gt;"Y",B702&lt;&gt;""),B702,"")</f>
        <v/>
      </c>
      <c r="Z702">
        <f>IF(AND(A702&lt;&gt;"Y",B702&lt;&gt;"",K702="C"),B702,"")</f>
        <v/>
      </c>
    </row>
    <row r="703">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f>IF(AND(A703&lt;&gt;"Y",B703&lt;&gt;""),B703,"")</f>
        <v/>
      </c>
      <c r="Z703">
        <f>IF(AND(A703&lt;&gt;"Y",B703&lt;&gt;"",K703="C"),B703,"")</f>
        <v/>
      </c>
    </row>
    <row r="704">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f>IF(AND(A704&lt;&gt;"Y",B704&lt;&gt;""),B704,"")</f>
        <v/>
      </c>
      <c r="Z704">
        <f>IF(AND(A704&lt;&gt;"Y",B704&lt;&gt;"",K704="C"),B704,"")</f>
        <v/>
      </c>
    </row>
    <row r="705">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f>IF(AND(A705&lt;&gt;"Y",B705&lt;&gt;""),B705,"")</f>
        <v/>
      </c>
      <c r="Z705">
        <f>IF(AND(A705&lt;&gt;"Y",B705&lt;&gt;"",K705="C"),B705,"")</f>
        <v/>
      </c>
    </row>
    <row r="706">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f>IF(AND(A706&lt;&gt;"Y",B706&lt;&gt;""),B706,"")</f>
        <v/>
      </c>
      <c r="Z706">
        <f>IF(AND(A706&lt;&gt;"Y",B706&lt;&gt;"",K706="C"),B706,"")</f>
        <v/>
      </c>
    </row>
    <row r="707">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f>IF(AND(A707&lt;&gt;"Y",B707&lt;&gt;""),B707,"")</f>
        <v/>
      </c>
      <c r="Z707">
        <f>IF(AND(A707&lt;&gt;"Y",B707&lt;&gt;"",K707="C"),B707,"")</f>
        <v/>
      </c>
    </row>
    <row r="708">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f>IF(AND(A708&lt;&gt;"Y",B708&lt;&gt;""),B708,"")</f>
        <v/>
      </c>
      <c r="Z708">
        <f>IF(AND(A708&lt;&gt;"Y",B708&lt;&gt;"",K708="C"),B708,"")</f>
        <v/>
      </c>
    </row>
    <row r="709">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f>IF(AND(A709&lt;&gt;"Y",B709&lt;&gt;""),B709,"")</f>
        <v/>
      </c>
      <c r="Z709">
        <f>IF(AND(A709&lt;&gt;"Y",B709&lt;&gt;"",K709="C"),B709,"")</f>
        <v/>
      </c>
    </row>
    <row r="710">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f>IF(AND(A710&lt;&gt;"Y",B710&lt;&gt;""),B710,"")</f>
        <v/>
      </c>
      <c r="Z710">
        <f>IF(AND(A710&lt;&gt;"Y",B710&lt;&gt;"",K710="C"),B710,"")</f>
        <v/>
      </c>
    </row>
    <row r="711">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f>IF(AND(A711&lt;&gt;"Y",B711&lt;&gt;""),B711,"")</f>
        <v/>
      </c>
      <c r="Z711">
        <f>IF(AND(A711&lt;&gt;"Y",B711&lt;&gt;"",K711="C"),B711,"")</f>
        <v/>
      </c>
    </row>
    <row r="712">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f>IF(AND(A712&lt;&gt;"Y",B712&lt;&gt;""),B712,"")</f>
        <v/>
      </c>
      <c r="Z712">
        <f>IF(AND(A712&lt;&gt;"Y",B712&lt;&gt;"",K712="C"),B712,"")</f>
        <v/>
      </c>
    </row>
    <row r="713">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f>IF(AND(A713&lt;&gt;"Y",B713&lt;&gt;""),B713,"")</f>
        <v/>
      </c>
      <c r="Z713">
        <f>IF(AND(A713&lt;&gt;"Y",B713&lt;&gt;"",K713="C"),B713,"")</f>
        <v/>
      </c>
    </row>
    <row r="714">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f>IF(AND(A714&lt;&gt;"Y",B714&lt;&gt;""),B714,"")</f>
        <v/>
      </c>
      <c r="Z714">
        <f>IF(AND(A714&lt;&gt;"Y",B714&lt;&gt;"",K714="C"),B714,"")</f>
        <v/>
      </c>
    </row>
    <row r="715">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f>IF(AND(A715&lt;&gt;"Y",B715&lt;&gt;""),B715,"")</f>
        <v/>
      </c>
      <c r="Z715">
        <f>IF(AND(A715&lt;&gt;"Y",B715&lt;&gt;"",K715="C"),B715,"")</f>
        <v/>
      </c>
    </row>
    <row r="716">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f>IF(AND(A716&lt;&gt;"Y",B716&lt;&gt;""),B716,"")</f>
        <v/>
      </c>
      <c r="Z716">
        <f>IF(AND(A716&lt;&gt;"Y",B716&lt;&gt;"",K716="C"),B716,"")</f>
        <v/>
      </c>
    </row>
    <row r="717">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f>IF(AND(A717&lt;&gt;"Y",B717&lt;&gt;""),B717,"")</f>
        <v/>
      </c>
      <c r="Z717">
        <f>IF(AND(A717&lt;&gt;"Y",B717&lt;&gt;"",K717="C"),B717,"")</f>
        <v/>
      </c>
    </row>
    <row r="718">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f>IF(AND(A718&lt;&gt;"Y",B718&lt;&gt;""),B718,"")</f>
        <v/>
      </c>
      <c r="Z718">
        <f>IF(AND(A718&lt;&gt;"Y",B718&lt;&gt;"",K718="C"),B718,"")</f>
        <v/>
      </c>
    </row>
    <row r="719">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f>IF(AND(A719&lt;&gt;"Y",B719&lt;&gt;""),B719,"")</f>
        <v/>
      </c>
      <c r="Z719">
        <f>IF(AND(A719&lt;&gt;"Y",B719&lt;&gt;"",K719="C"),B719,"")</f>
        <v/>
      </c>
    </row>
    <row r="720">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f>IF(AND(A720&lt;&gt;"Y",B720&lt;&gt;""),B720,"")</f>
        <v/>
      </c>
      <c r="Z720">
        <f>IF(AND(A720&lt;&gt;"Y",B720&lt;&gt;"",K720="C"),B720,"")</f>
        <v/>
      </c>
    </row>
    <row r="721">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f>IF(AND(A721&lt;&gt;"Y",B721&lt;&gt;""),B721,"")</f>
        <v/>
      </c>
      <c r="Z721">
        <f>IF(AND(A721&lt;&gt;"Y",B721&lt;&gt;"",K721="C"),B721,"")</f>
        <v/>
      </c>
    </row>
    <row r="722">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f>IF(AND(A722&lt;&gt;"Y",B722&lt;&gt;""),B722,"")</f>
        <v/>
      </c>
      <c r="Z722">
        <f>IF(AND(A722&lt;&gt;"Y",B722&lt;&gt;"",K722="C"),B722,"")</f>
        <v/>
      </c>
    </row>
    <row r="723">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f>IF(AND(A723&lt;&gt;"Y",B723&lt;&gt;""),B723,"")</f>
        <v/>
      </c>
      <c r="Z723">
        <f>IF(AND(A723&lt;&gt;"Y",B723&lt;&gt;"",K723="C"),B723,"")</f>
        <v/>
      </c>
    </row>
    <row r="724">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f>IF(AND(A724&lt;&gt;"Y",B724&lt;&gt;""),B724,"")</f>
        <v/>
      </c>
      <c r="Z724">
        <f>IF(AND(A724&lt;&gt;"Y",B724&lt;&gt;"",K724="C"),B724,"")</f>
        <v/>
      </c>
    </row>
    <row r="725">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f>IF(AND(A725&lt;&gt;"Y",B725&lt;&gt;""),B725,"")</f>
        <v/>
      </c>
      <c r="Z725">
        <f>IF(AND(A725&lt;&gt;"Y",B725&lt;&gt;"",K725="C"),B725,"")</f>
        <v/>
      </c>
    </row>
    <row r="726">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f>IF(AND(A726&lt;&gt;"Y",B726&lt;&gt;""),B726,"")</f>
        <v/>
      </c>
      <c r="Z726">
        <f>IF(AND(A726&lt;&gt;"Y",B726&lt;&gt;"",K726="C"),B726,"")</f>
        <v/>
      </c>
    </row>
    <row r="727">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f>IF(AND(A727&lt;&gt;"Y",B727&lt;&gt;""),B727,"")</f>
        <v/>
      </c>
      <c r="Z727">
        <f>IF(AND(A727&lt;&gt;"Y",B727&lt;&gt;"",K727="C"),B727,"")</f>
        <v/>
      </c>
    </row>
    <row r="728">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f>IF(AND(A728&lt;&gt;"Y",B728&lt;&gt;""),B728,"")</f>
        <v/>
      </c>
      <c r="Z728">
        <f>IF(AND(A728&lt;&gt;"Y",B728&lt;&gt;"",K728="C"),B728,"")</f>
        <v/>
      </c>
    </row>
    <row r="729">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f>IF(AND(A729&lt;&gt;"Y",B729&lt;&gt;""),B729,"")</f>
        <v/>
      </c>
      <c r="Z729">
        <f>IF(AND(A729&lt;&gt;"Y",B729&lt;&gt;"",K729="C"),B729,"")</f>
        <v/>
      </c>
    </row>
    <row r="730">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f>IF(AND(A730&lt;&gt;"Y",B730&lt;&gt;""),B730,"")</f>
        <v/>
      </c>
      <c r="Z730">
        <f>IF(AND(A730&lt;&gt;"Y",B730&lt;&gt;"",K730="C"),B730,"")</f>
        <v/>
      </c>
    </row>
    <row r="731">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f>IF(AND(A731&lt;&gt;"Y",B731&lt;&gt;""),B731,"")</f>
        <v/>
      </c>
      <c r="Z731">
        <f>IF(AND(A731&lt;&gt;"Y",B731&lt;&gt;"",K731="C"),B731,"")</f>
        <v/>
      </c>
    </row>
    <row r="732">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f>IF(AND(A732&lt;&gt;"Y",B732&lt;&gt;""),B732,"")</f>
        <v/>
      </c>
      <c r="Z732">
        <f>IF(AND(A732&lt;&gt;"Y",B732&lt;&gt;"",K732="C"),B732,"")</f>
        <v/>
      </c>
    </row>
    <row r="733">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f>IF(AND(A733&lt;&gt;"Y",B733&lt;&gt;""),B733,"")</f>
        <v/>
      </c>
      <c r="Z733">
        <f>IF(AND(A733&lt;&gt;"Y",B733&lt;&gt;"",K733="C"),B733,"")</f>
        <v/>
      </c>
    </row>
    <row r="734">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f>IF(AND(A734&lt;&gt;"Y",B734&lt;&gt;""),B734,"")</f>
        <v/>
      </c>
      <c r="Z734">
        <f>IF(AND(A734&lt;&gt;"Y",B734&lt;&gt;"",K734="C"),B734,"")</f>
        <v/>
      </c>
    </row>
    <row r="735">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f>IF(AND(A735&lt;&gt;"Y",B735&lt;&gt;""),B735,"")</f>
        <v/>
      </c>
      <c r="Z735">
        <f>IF(AND(A735&lt;&gt;"Y",B735&lt;&gt;"",K735="C"),B735,"")</f>
        <v/>
      </c>
    </row>
    <row r="736">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f>IF(AND(A736&lt;&gt;"Y",B736&lt;&gt;""),B736,"")</f>
        <v/>
      </c>
      <c r="Z736">
        <f>IF(AND(A736&lt;&gt;"Y",B736&lt;&gt;"",K736="C"),B736,"")</f>
        <v/>
      </c>
    </row>
    <row r="737">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f>IF(AND(A737&lt;&gt;"Y",B737&lt;&gt;""),B737,"")</f>
        <v/>
      </c>
      <c r="Z737">
        <f>IF(AND(A737&lt;&gt;"Y",B737&lt;&gt;"",K737="C"),B737,"")</f>
        <v/>
      </c>
    </row>
    <row r="738">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f>IF(AND(A738&lt;&gt;"Y",B738&lt;&gt;""),B738,"")</f>
        <v/>
      </c>
      <c r="Z738">
        <f>IF(AND(A738&lt;&gt;"Y",B738&lt;&gt;"",K738="C"),B738,"")</f>
        <v/>
      </c>
    </row>
    <row r="739">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f>IF(AND(A739&lt;&gt;"Y",B739&lt;&gt;""),B739,"")</f>
        <v/>
      </c>
      <c r="Z739">
        <f>IF(AND(A739&lt;&gt;"Y",B739&lt;&gt;"",K739="C"),B739,"")</f>
        <v/>
      </c>
    </row>
    <row r="740">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f>IF(AND(A740&lt;&gt;"Y",B740&lt;&gt;""),B740,"")</f>
        <v/>
      </c>
      <c r="Z740">
        <f>IF(AND(A740&lt;&gt;"Y",B740&lt;&gt;"",K740="C"),B740,"")</f>
        <v/>
      </c>
    </row>
    <row r="741">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f>IF(AND(A741&lt;&gt;"Y",B741&lt;&gt;""),B741,"")</f>
        <v/>
      </c>
      <c r="Z741">
        <f>IF(AND(A741&lt;&gt;"Y",B741&lt;&gt;"",K741="C"),B741,"")</f>
        <v/>
      </c>
    </row>
    <row r="742">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f>IF(AND(A742&lt;&gt;"Y",B742&lt;&gt;""),B742,"")</f>
        <v/>
      </c>
      <c r="Z742">
        <f>IF(AND(A742&lt;&gt;"Y",B742&lt;&gt;"",K742="C"),B742,"")</f>
        <v/>
      </c>
    </row>
    <row r="743">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f>IF(AND(A743&lt;&gt;"Y",B743&lt;&gt;""),B743,"")</f>
        <v/>
      </c>
      <c r="Z743">
        <f>IF(AND(A743&lt;&gt;"Y",B743&lt;&gt;"",K743="C"),B743,"")</f>
        <v/>
      </c>
    </row>
    <row r="744">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f>IF(AND(A744&lt;&gt;"Y",B744&lt;&gt;""),B744,"")</f>
        <v/>
      </c>
      <c r="Z744">
        <f>IF(AND(A744&lt;&gt;"Y",B744&lt;&gt;"",K744="C"),B744,"")</f>
        <v/>
      </c>
    </row>
    <row r="745">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f>IF(AND(A745&lt;&gt;"Y",B745&lt;&gt;""),B745,"")</f>
        <v/>
      </c>
      <c r="Z745">
        <f>IF(AND(A745&lt;&gt;"Y",B745&lt;&gt;"",K745="C"),B745,"")</f>
        <v/>
      </c>
    </row>
    <row r="746">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f>IF(AND(A746&lt;&gt;"Y",B746&lt;&gt;""),B746,"")</f>
        <v/>
      </c>
      <c r="Z746">
        <f>IF(AND(A746&lt;&gt;"Y",B746&lt;&gt;"",K746="C"),B746,"")</f>
        <v/>
      </c>
    </row>
    <row r="747">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f>IF(AND(A747&lt;&gt;"Y",B747&lt;&gt;""),B747,"")</f>
        <v/>
      </c>
      <c r="Z747">
        <f>IF(AND(A747&lt;&gt;"Y",B747&lt;&gt;"",K747="C"),B747,"")</f>
        <v/>
      </c>
    </row>
    <row r="748">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f>IF(AND(A748&lt;&gt;"Y",B748&lt;&gt;""),B748,"")</f>
        <v/>
      </c>
      <c r="Z748">
        <f>IF(AND(A748&lt;&gt;"Y",B748&lt;&gt;"",K748="C"),B748,"")</f>
        <v/>
      </c>
    </row>
    <row r="749">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f>IF(AND(A749&lt;&gt;"Y",B749&lt;&gt;""),B749,"")</f>
        <v/>
      </c>
      <c r="Z749">
        <f>IF(AND(A749&lt;&gt;"Y",B749&lt;&gt;"",K749="C"),B749,"")</f>
        <v/>
      </c>
    </row>
    <row r="750">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f>IF(AND(A750&lt;&gt;"Y",B750&lt;&gt;""),B750,"")</f>
        <v/>
      </c>
      <c r="Z750">
        <f>IF(AND(A750&lt;&gt;"Y",B750&lt;&gt;"",K750="C"),B750,"")</f>
        <v/>
      </c>
    </row>
    <row r="751">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f>IF(AND(A751&lt;&gt;"Y",B751&lt;&gt;""),B751,"")</f>
        <v/>
      </c>
      <c r="Z751">
        <f>IF(AND(A751&lt;&gt;"Y",B751&lt;&gt;"",K751="C"),B751,"")</f>
        <v/>
      </c>
    </row>
    <row r="752">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f>IF(AND(A752&lt;&gt;"Y",B752&lt;&gt;""),B752,"")</f>
        <v/>
      </c>
      <c r="Z752">
        <f>IF(AND(A752&lt;&gt;"Y",B752&lt;&gt;"",K752="C"),B752,"")</f>
        <v/>
      </c>
    </row>
    <row r="753">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f>IF(AND(A753&lt;&gt;"Y",B753&lt;&gt;""),B753,"")</f>
        <v/>
      </c>
      <c r="Z753">
        <f>IF(AND(A753&lt;&gt;"Y",B753&lt;&gt;"",K753="C"),B753,"")</f>
        <v/>
      </c>
    </row>
    <row r="754">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f>IF(AND(A754&lt;&gt;"Y",B754&lt;&gt;""),B754,"")</f>
        <v/>
      </c>
      <c r="Z754">
        <f>IF(AND(A754&lt;&gt;"Y",B754&lt;&gt;"",K754="C"),B754,"")</f>
        <v/>
      </c>
    </row>
    <row r="755">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f>IF(AND(A755&lt;&gt;"Y",B755&lt;&gt;""),B755,"")</f>
        <v/>
      </c>
      <c r="Z755">
        <f>IF(AND(A755&lt;&gt;"Y",B755&lt;&gt;"",K755="C"),B755,"")</f>
        <v/>
      </c>
    </row>
    <row r="756">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f>IF(AND(A756&lt;&gt;"Y",B756&lt;&gt;""),B756,"")</f>
        <v/>
      </c>
      <c r="Z756">
        <f>IF(AND(A756&lt;&gt;"Y",B756&lt;&gt;"",K756="C"),B756,"")</f>
        <v/>
      </c>
    </row>
    <row r="757">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f>IF(AND(A757&lt;&gt;"Y",B757&lt;&gt;""),B757,"")</f>
        <v/>
      </c>
      <c r="Z757">
        <f>IF(AND(A757&lt;&gt;"Y",B757&lt;&gt;"",K757="C"),B757,"")</f>
        <v/>
      </c>
    </row>
    <row r="758">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f>IF(AND(A758&lt;&gt;"Y",B758&lt;&gt;""),B758,"")</f>
        <v/>
      </c>
      <c r="Z758">
        <f>IF(AND(A758&lt;&gt;"Y",B758&lt;&gt;"",K758="C"),B758,"")</f>
        <v/>
      </c>
    </row>
    <row r="759">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f>IF(AND(A759&lt;&gt;"Y",B759&lt;&gt;""),B759,"")</f>
        <v/>
      </c>
      <c r="Z759">
        <f>IF(AND(A759&lt;&gt;"Y",B759&lt;&gt;"",K759="C"),B759,"")</f>
        <v/>
      </c>
    </row>
    <row r="760">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f>IF(AND(A760&lt;&gt;"Y",B760&lt;&gt;""),B760,"")</f>
        <v/>
      </c>
      <c r="Z760">
        <f>IF(AND(A760&lt;&gt;"Y",B760&lt;&gt;"",K760="C"),B760,"")</f>
        <v/>
      </c>
    </row>
    <row r="761">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f>IF(AND(A761&lt;&gt;"Y",B761&lt;&gt;""),B761,"")</f>
        <v/>
      </c>
      <c r="Z761">
        <f>IF(AND(A761&lt;&gt;"Y",B761&lt;&gt;"",K761="C"),B761,"")</f>
        <v/>
      </c>
    </row>
    <row r="762">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f>IF(AND(A762&lt;&gt;"Y",B762&lt;&gt;""),B762,"")</f>
        <v/>
      </c>
      <c r="Z762">
        <f>IF(AND(A762&lt;&gt;"Y",B762&lt;&gt;"",K762="C"),B762,"")</f>
        <v/>
      </c>
    </row>
    <row r="763">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f>IF(AND(A763&lt;&gt;"Y",B763&lt;&gt;""),B763,"")</f>
        <v/>
      </c>
      <c r="Z763">
        <f>IF(AND(A763&lt;&gt;"Y",B763&lt;&gt;"",K763="C"),B763,"")</f>
        <v/>
      </c>
    </row>
    <row r="764">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f>IF(AND(A764&lt;&gt;"Y",B764&lt;&gt;""),B764,"")</f>
        <v/>
      </c>
      <c r="Z764">
        <f>IF(AND(A764&lt;&gt;"Y",B764&lt;&gt;"",K764="C"),B764,"")</f>
        <v/>
      </c>
    </row>
    <row r="765">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f>IF(AND(A765&lt;&gt;"Y",B765&lt;&gt;""),B765,"")</f>
        <v/>
      </c>
      <c r="Z765">
        <f>IF(AND(A765&lt;&gt;"Y",B765&lt;&gt;"",K765="C"),B765,"")</f>
        <v/>
      </c>
    </row>
    <row r="766">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f>IF(AND(A766&lt;&gt;"Y",B766&lt;&gt;""),B766,"")</f>
        <v/>
      </c>
      <c r="Z766">
        <f>IF(AND(A766&lt;&gt;"Y",B766&lt;&gt;"",K766="C"),B766,"")</f>
        <v/>
      </c>
    </row>
    <row r="767">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f>IF(AND(A767&lt;&gt;"Y",B767&lt;&gt;""),B767,"")</f>
        <v/>
      </c>
      <c r="Z767">
        <f>IF(AND(A767&lt;&gt;"Y",B767&lt;&gt;"",K767="C"),B767,"")</f>
        <v/>
      </c>
    </row>
    <row r="768">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f>IF(AND(A768&lt;&gt;"Y",B768&lt;&gt;""),B768,"")</f>
        <v/>
      </c>
      <c r="Z768">
        <f>IF(AND(A768&lt;&gt;"Y",B768&lt;&gt;"",K768="C"),B768,"")</f>
        <v/>
      </c>
    </row>
    <row r="769">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f>IF(AND(A769&lt;&gt;"Y",B769&lt;&gt;""),B769,"")</f>
        <v/>
      </c>
      <c r="Z769">
        <f>IF(AND(A769&lt;&gt;"Y",B769&lt;&gt;"",K769="C"),B769,"")</f>
        <v/>
      </c>
    </row>
    <row r="770">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f>IF(AND(A770&lt;&gt;"Y",B770&lt;&gt;""),B770,"")</f>
        <v/>
      </c>
      <c r="Z770">
        <f>IF(AND(A770&lt;&gt;"Y",B770&lt;&gt;"",K770="C"),B770,"")</f>
        <v/>
      </c>
    </row>
    <row r="771">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f>IF(AND(A771&lt;&gt;"Y",B771&lt;&gt;""),B771,"")</f>
        <v/>
      </c>
      <c r="Z771">
        <f>IF(AND(A771&lt;&gt;"Y",B771&lt;&gt;"",K771="C"),B771,"")</f>
        <v/>
      </c>
    </row>
    <row r="772">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f>IF(AND(A772&lt;&gt;"Y",B772&lt;&gt;""),B772,"")</f>
        <v/>
      </c>
      <c r="Z772">
        <f>IF(AND(A772&lt;&gt;"Y",B772&lt;&gt;"",K772="C"),B772,"")</f>
        <v/>
      </c>
    </row>
    <row r="773">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f>IF(AND(A773&lt;&gt;"Y",B773&lt;&gt;""),B773,"")</f>
        <v/>
      </c>
      <c r="Z773">
        <f>IF(AND(A773&lt;&gt;"Y",B773&lt;&gt;"",K773="C"),B773,"")</f>
        <v/>
      </c>
    </row>
    <row r="774">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f>IF(AND(A774&lt;&gt;"Y",B774&lt;&gt;""),B774,"")</f>
        <v/>
      </c>
      <c r="Z774">
        <f>IF(AND(A774&lt;&gt;"Y",B774&lt;&gt;"",K774="C"),B774,"")</f>
        <v/>
      </c>
    </row>
    <row r="775">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f>IF(AND(A775&lt;&gt;"Y",B775&lt;&gt;""),B775,"")</f>
        <v/>
      </c>
      <c r="Z775">
        <f>IF(AND(A775&lt;&gt;"Y",B775&lt;&gt;"",K775="C"),B775,"")</f>
        <v/>
      </c>
    </row>
    <row r="776">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f>IF(AND(A776&lt;&gt;"Y",B776&lt;&gt;""),B776,"")</f>
        <v/>
      </c>
      <c r="Z776">
        <f>IF(AND(A776&lt;&gt;"Y",B776&lt;&gt;"",K776="C"),B776,"")</f>
        <v/>
      </c>
    </row>
    <row r="777">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f>IF(AND(A777&lt;&gt;"Y",B777&lt;&gt;""),B777,"")</f>
        <v/>
      </c>
      <c r="Z777">
        <f>IF(AND(A777&lt;&gt;"Y",B777&lt;&gt;"",K777="C"),B777,"")</f>
        <v/>
      </c>
    </row>
    <row r="778">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f>IF(AND(A778&lt;&gt;"Y",B778&lt;&gt;""),B778,"")</f>
        <v/>
      </c>
      <c r="Z778">
        <f>IF(AND(A778&lt;&gt;"Y",B778&lt;&gt;"",K778="C"),B778,"")</f>
        <v/>
      </c>
    </row>
    <row r="779">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f>IF(AND(A779&lt;&gt;"Y",B779&lt;&gt;""),B779,"")</f>
        <v/>
      </c>
      <c r="Z779">
        <f>IF(AND(A779&lt;&gt;"Y",B779&lt;&gt;"",K779="C"),B779,"")</f>
        <v/>
      </c>
    </row>
    <row r="780">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f>IF(AND(A780&lt;&gt;"Y",B780&lt;&gt;""),B780,"")</f>
        <v/>
      </c>
      <c r="Z780">
        <f>IF(AND(A780&lt;&gt;"Y",B780&lt;&gt;"",K780="C"),B780,"")</f>
        <v/>
      </c>
    </row>
    <row r="781">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f>IF(AND(A781&lt;&gt;"Y",B781&lt;&gt;""),B781,"")</f>
        <v/>
      </c>
      <c r="Z781">
        <f>IF(AND(A781&lt;&gt;"Y",B781&lt;&gt;"",K781="C"),B781,"")</f>
        <v/>
      </c>
    </row>
    <row r="782">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f>IF(AND(A782&lt;&gt;"Y",B782&lt;&gt;""),B782,"")</f>
        <v/>
      </c>
      <c r="Z782">
        <f>IF(AND(A782&lt;&gt;"Y",B782&lt;&gt;"",K782="C"),B782,"")</f>
        <v/>
      </c>
    </row>
    <row r="783">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f>IF(AND(A783&lt;&gt;"Y",B783&lt;&gt;""),B783,"")</f>
        <v/>
      </c>
      <c r="Z783">
        <f>IF(AND(A783&lt;&gt;"Y",B783&lt;&gt;"",K783="C"),B783,"")</f>
        <v/>
      </c>
    </row>
    <row r="784">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f>IF(AND(A784&lt;&gt;"Y",B784&lt;&gt;""),B784,"")</f>
        <v/>
      </c>
      <c r="Z784">
        <f>IF(AND(A784&lt;&gt;"Y",B784&lt;&gt;"",K784="C"),B784,"")</f>
        <v/>
      </c>
    </row>
    <row r="785">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f>IF(AND(A785&lt;&gt;"Y",B785&lt;&gt;""),B785,"")</f>
        <v/>
      </c>
      <c r="Z785">
        <f>IF(AND(A785&lt;&gt;"Y",B785&lt;&gt;"",K785="C"),B785,"")</f>
        <v/>
      </c>
    </row>
    <row r="786">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f>IF(AND(A786&lt;&gt;"Y",B786&lt;&gt;""),B786,"")</f>
        <v/>
      </c>
      <c r="Z786">
        <f>IF(AND(A786&lt;&gt;"Y",B786&lt;&gt;"",K786="C"),B786,"")</f>
        <v/>
      </c>
    </row>
    <row r="787">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f>IF(AND(A787&lt;&gt;"Y",B787&lt;&gt;""),B787,"")</f>
        <v/>
      </c>
      <c r="Z787">
        <f>IF(AND(A787&lt;&gt;"Y",B787&lt;&gt;"",K787="C"),B787,"")</f>
        <v/>
      </c>
    </row>
    <row r="788">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f>IF(AND(A788&lt;&gt;"Y",B788&lt;&gt;""),B788,"")</f>
        <v/>
      </c>
      <c r="Z788">
        <f>IF(AND(A788&lt;&gt;"Y",B788&lt;&gt;"",K788="C"),B788,"")</f>
        <v/>
      </c>
    </row>
    <row r="789">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f>IF(AND(A789&lt;&gt;"Y",B789&lt;&gt;""),B789,"")</f>
        <v/>
      </c>
      <c r="Z789">
        <f>IF(AND(A789&lt;&gt;"Y",B789&lt;&gt;"",K789="C"),B789,"")</f>
        <v/>
      </c>
    </row>
    <row r="790">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f>IF(AND(A790&lt;&gt;"Y",B790&lt;&gt;""),B790,"")</f>
        <v/>
      </c>
      <c r="Z790">
        <f>IF(AND(A790&lt;&gt;"Y",B790&lt;&gt;"",K790="C"),B790,"")</f>
        <v/>
      </c>
    </row>
    <row r="791">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f>IF(AND(A791&lt;&gt;"Y",B791&lt;&gt;""),B791,"")</f>
        <v/>
      </c>
      <c r="Z791">
        <f>IF(AND(A791&lt;&gt;"Y",B791&lt;&gt;"",K791="C"),B791,"")</f>
        <v/>
      </c>
    </row>
    <row r="792">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f>IF(AND(A792&lt;&gt;"Y",B792&lt;&gt;""),B792,"")</f>
        <v/>
      </c>
      <c r="Z792">
        <f>IF(AND(A792&lt;&gt;"Y",B792&lt;&gt;"",K792="C"),B792,"")</f>
        <v/>
      </c>
    </row>
    <row r="793">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f>IF(AND(A793&lt;&gt;"Y",B793&lt;&gt;""),B793,"")</f>
        <v/>
      </c>
      <c r="Z793">
        <f>IF(AND(A793&lt;&gt;"Y",B793&lt;&gt;"",K793="C"),B793,"")</f>
        <v/>
      </c>
    </row>
    <row r="794">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f>IF(AND(A794&lt;&gt;"Y",B794&lt;&gt;""),B794,"")</f>
        <v/>
      </c>
      <c r="Z794">
        <f>IF(AND(A794&lt;&gt;"Y",B794&lt;&gt;"",K794="C"),B794,"")</f>
        <v/>
      </c>
    </row>
    <row r="795">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f>IF(AND(A795&lt;&gt;"Y",B795&lt;&gt;""),B795,"")</f>
        <v/>
      </c>
      <c r="Z795">
        <f>IF(AND(A795&lt;&gt;"Y",B795&lt;&gt;"",K795="C"),B795,"")</f>
        <v/>
      </c>
    </row>
    <row r="796">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f>IF(AND(A796&lt;&gt;"Y",B796&lt;&gt;""),B796,"")</f>
        <v/>
      </c>
      <c r="Z796">
        <f>IF(AND(A796&lt;&gt;"Y",B796&lt;&gt;"",K796="C"),B796,"")</f>
        <v/>
      </c>
    </row>
    <row r="797">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f>IF(AND(A797&lt;&gt;"Y",B797&lt;&gt;""),B797,"")</f>
        <v/>
      </c>
      <c r="Z797">
        <f>IF(AND(A797&lt;&gt;"Y",B797&lt;&gt;"",K797="C"),B797,"")</f>
        <v/>
      </c>
    </row>
    <row r="798">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f>IF(AND(A798&lt;&gt;"Y",B798&lt;&gt;""),B798,"")</f>
        <v/>
      </c>
      <c r="Z798">
        <f>IF(AND(A798&lt;&gt;"Y",B798&lt;&gt;"",K798="C"),B798,"")</f>
        <v/>
      </c>
    </row>
    <row r="799">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f>IF(AND(A799&lt;&gt;"Y",B799&lt;&gt;""),B799,"")</f>
        <v/>
      </c>
      <c r="Z799">
        <f>IF(AND(A799&lt;&gt;"Y",B799&lt;&gt;"",K799="C"),B799,"")</f>
        <v/>
      </c>
    </row>
    <row r="800">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f>IF(AND(A800&lt;&gt;"Y",B800&lt;&gt;""),B800,"")</f>
        <v/>
      </c>
      <c r="Z800">
        <f>IF(AND(A800&lt;&gt;"Y",B800&lt;&gt;"",K800="C"),B800,"")</f>
        <v/>
      </c>
    </row>
    <row r="801">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f>IF(AND(A801&lt;&gt;"Y",B801&lt;&gt;""),B801,"")</f>
        <v/>
      </c>
      <c r="Z801">
        <f>IF(AND(A801&lt;&gt;"Y",B801&lt;&gt;"",K801="C"),B801,"")</f>
        <v/>
      </c>
    </row>
    <row r="802">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f>IF(AND(A802&lt;&gt;"Y",B802&lt;&gt;""),B802,"")</f>
        <v/>
      </c>
      <c r="Z802">
        <f>IF(AND(A802&lt;&gt;"Y",B802&lt;&gt;"",K802="C"),B802,"")</f>
        <v/>
      </c>
    </row>
    <row r="803">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f>IF(AND(A803&lt;&gt;"Y",B803&lt;&gt;""),B803,"")</f>
        <v/>
      </c>
      <c r="Z803">
        <f>IF(AND(A803&lt;&gt;"Y",B803&lt;&gt;"",K803="C"),B803,"")</f>
        <v/>
      </c>
    </row>
    <row r="804">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f>IF(AND(A804&lt;&gt;"Y",B804&lt;&gt;""),B804,"")</f>
        <v/>
      </c>
      <c r="Z804">
        <f>IF(AND(A804&lt;&gt;"Y",B804&lt;&gt;"",K804="C"),B804,"")</f>
        <v/>
      </c>
    </row>
    <row r="805">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f>IF(AND(A805&lt;&gt;"Y",B805&lt;&gt;""),B805,"")</f>
        <v/>
      </c>
      <c r="Z805">
        <f>IF(AND(A805&lt;&gt;"Y",B805&lt;&gt;"",K805="C"),B805,"")</f>
        <v/>
      </c>
    </row>
    <row r="806">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f>IF(AND(A806&lt;&gt;"Y",B806&lt;&gt;""),B806,"")</f>
        <v/>
      </c>
      <c r="Z806">
        <f>IF(AND(A806&lt;&gt;"Y",B806&lt;&gt;"",K806="C"),B806,"")</f>
        <v/>
      </c>
    </row>
    <row r="807">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f>IF(AND(A807&lt;&gt;"Y",B807&lt;&gt;""),B807,"")</f>
        <v/>
      </c>
      <c r="Z807">
        <f>IF(AND(A807&lt;&gt;"Y",B807&lt;&gt;"",K807="C"),B807,"")</f>
        <v/>
      </c>
    </row>
    <row r="808">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f>IF(AND(A808&lt;&gt;"Y",B808&lt;&gt;""),B808,"")</f>
        <v/>
      </c>
      <c r="Z808">
        <f>IF(AND(A808&lt;&gt;"Y",B808&lt;&gt;"",K808="C"),B808,"")</f>
        <v/>
      </c>
    </row>
    <row r="809">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f>IF(AND(A809&lt;&gt;"Y",B809&lt;&gt;""),B809,"")</f>
        <v/>
      </c>
      <c r="Z809">
        <f>IF(AND(A809&lt;&gt;"Y",B809&lt;&gt;"",K809="C"),B809,"")</f>
        <v/>
      </c>
    </row>
    <row r="810">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f>IF(AND(A810&lt;&gt;"Y",B810&lt;&gt;""),B810,"")</f>
        <v/>
      </c>
      <c r="Z810">
        <f>IF(AND(A810&lt;&gt;"Y",B810&lt;&gt;"",K810="C"),B810,"")</f>
        <v/>
      </c>
    </row>
    <row r="811">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f>IF(AND(A811&lt;&gt;"Y",B811&lt;&gt;""),B811,"")</f>
        <v/>
      </c>
      <c r="Z811">
        <f>IF(AND(A811&lt;&gt;"Y",B811&lt;&gt;"",K811="C"),B811,"")</f>
        <v/>
      </c>
    </row>
    <row r="812">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f>IF(AND(A812&lt;&gt;"Y",B812&lt;&gt;""),B812,"")</f>
        <v/>
      </c>
      <c r="Z812">
        <f>IF(AND(A812&lt;&gt;"Y",B812&lt;&gt;"",K812="C"),B812,"")</f>
        <v/>
      </c>
    </row>
    <row r="813">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f>IF(AND(A813&lt;&gt;"Y",B813&lt;&gt;""),B813,"")</f>
        <v/>
      </c>
      <c r="Z813">
        <f>IF(AND(A813&lt;&gt;"Y",B813&lt;&gt;"",K813="C"),B813,"")</f>
        <v/>
      </c>
    </row>
    <row r="814">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f>IF(AND(A814&lt;&gt;"Y",B814&lt;&gt;""),B814,"")</f>
        <v/>
      </c>
      <c r="Z814">
        <f>IF(AND(A814&lt;&gt;"Y",B814&lt;&gt;"",K814="C"),B814,"")</f>
        <v/>
      </c>
    </row>
    <row r="815">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f>IF(AND(A815&lt;&gt;"Y",B815&lt;&gt;""),B815,"")</f>
        <v/>
      </c>
      <c r="Z815">
        <f>IF(AND(A815&lt;&gt;"Y",B815&lt;&gt;"",K815="C"),B815,"")</f>
        <v/>
      </c>
    </row>
    <row r="816">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f>IF(AND(A816&lt;&gt;"Y",B816&lt;&gt;""),B816,"")</f>
        <v/>
      </c>
      <c r="Z816">
        <f>IF(AND(A816&lt;&gt;"Y",B816&lt;&gt;"",K816="C"),B816,"")</f>
        <v/>
      </c>
    </row>
    <row r="817">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f>IF(AND(A817&lt;&gt;"Y",B817&lt;&gt;""),B817,"")</f>
        <v/>
      </c>
      <c r="Z817">
        <f>IF(AND(A817&lt;&gt;"Y",B817&lt;&gt;"",K817="C"),B817,"")</f>
        <v/>
      </c>
    </row>
    <row r="818">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f>IF(AND(A818&lt;&gt;"Y",B818&lt;&gt;""),B818,"")</f>
        <v/>
      </c>
      <c r="Z818">
        <f>IF(AND(A818&lt;&gt;"Y",B818&lt;&gt;"",K818="C"),B818,"")</f>
        <v/>
      </c>
    </row>
    <row r="819">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f>IF(AND(A819&lt;&gt;"Y",B819&lt;&gt;""),B819,"")</f>
        <v/>
      </c>
      <c r="Z819">
        <f>IF(AND(A819&lt;&gt;"Y",B819&lt;&gt;"",K819="C"),B819,"")</f>
        <v/>
      </c>
    </row>
    <row r="820">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f>IF(AND(A820&lt;&gt;"Y",B820&lt;&gt;""),B820,"")</f>
        <v/>
      </c>
      <c r="Z820">
        <f>IF(AND(A820&lt;&gt;"Y",B820&lt;&gt;"",K820="C"),B820,"")</f>
        <v/>
      </c>
    </row>
    <row r="821">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f>IF(AND(A821&lt;&gt;"Y",B821&lt;&gt;""),B821,"")</f>
        <v/>
      </c>
      <c r="Z821">
        <f>IF(AND(A821&lt;&gt;"Y",B821&lt;&gt;"",K821="C"),B821,"")</f>
        <v/>
      </c>
    </row>
    <row r="822">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f>IF(AND(A822&lt;&gt;"Y",B822&lt;&gt;""),B822,"")</f>
        <v/>
      </c>
      <c r="Z822">
        <f>IF(AND(A822&lt;&gt;"Y",B822&lt;&gt;"",K822="C"),B822,"")</f>
        <v/>
      </c>
    </row>
    <row r="823">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f>IF(AND(A823&lt;&gt;"Y",B823&lt;&gt;""),B823,"")</f>
        <v/>
      </c>
      <c r="Z823">
        <f>IF(AND(A823&lt;&gt;"Y",B823&lt;&gt;"",K823="C"),B823,"")</f>
        <v/>
      </c>
    </row>
    <row r="824">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f>IF(AND(A824&lt;&gt;"Y",B824&lt;&gt;""),B824,"")</f>
        <v/>
      </c>
      <c r="Z824">
        <f>IF(AND(A824&lt;&gt;"Y",B824&lt;&gt;"",K824="C"),B824,"")</f>
        <v/>
      </c>
    </row>
    <row r="825">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f>IF(AND(A825&lt;&gt;"Y",B825&lt;&gt;""),B825,"")</f>
        <v/>
      </c>
      <c r="Z825">
        <f>IF(AND(A825&lt;&gt;"Y",B825&lt;&gt;"",K825="C"),B825,"")</f>
        <v/>
      </c>
    </row>
    <row r="826">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f>IF(AND(A826&lt;&gt;"Y",B826&lt;&gt;""),B826,"")</f>
        <v/>
      </c>
      <c r="Z826">
        <f>IF(AND(A826&lt;&gt;"Y",B826&lt;&gt;"",K826="C"),B826,"")</f>
        <v/>
      </c>
    </row>
    <row r="827">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f>IF(AND(A827&lt;&gt;"Y",B827&lt;&gt;""),B827,"")</f>
        <v/>
      </c>
      <c r="Z827">
        <f>IF(AND(A827&lt;&gt;"Y",B827&lt;&gt;"",K827="C"),B827,"")</f>
        <v/>
      </c>
    </row>
    <row r="828">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f>IF(AND(A828&lt;&gt;"Y",B828&lt;&gt;""),B828,"")</f>
        <v/>
      </c>
      <c r="Z828">
        <f>IF(AND(A828&lt;&gt;"Y",B828&lt;&gt;"",K828="C"),B828,"")</f>
        <v/>
      </c>
    </row>
    <row r="829">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f>IF(AND(A829&lt;&gt;"Y",B829&lt;&gt;""),B829,"")</f>
        <v/>
      </c>
      <c r="Z829">
        <f>IF(AND(A829&lt;&gt;"Y",B829&lt;&gt;"",K829="C"),B829,"")</f>
        <v/>
      </c>
    </row>
    <row r="830">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f>IF(AND(A830&lt;&gt;"Y",B830&lt;&gt;""),B830,"")</f>
        <v/>
      </c>
      <c r="Z830">
        <f>IF(AND(A830&lt;&gt;"Y",B830&lt;&gt;"",K830="C"),B830,"")</f>
        <v/>
      </c>
    </row>
    <row r="831">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f>IF(AND(A831&lt;&gt;"Y",B831&lt;&gt;""),B831,"")</f>
        <v/>
      </c>
      <c r="Z831">
        <f>IF(AND(A831&lt;&gt;"Y",B831&lt;&gt;"",K831="C"),B831,"")</f>
        <v/>
      </c>
    </row>
    <row r="832">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f>IF(AND(A832&lt;&gt;"Y",B832&lt;&gt;""),B832,"")</f>
        <v/>
      </c>
      <c r="Z832">
        <f>IF(AND(A832&lt;&gt;"Y",B832&lt;&gt;"",K832="C"),B832,"")</f>
        <v/>
      </c>
    </row>
    <row r="833">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f>IF(AND(A833&lt;&gt;"Y",B833&lt;&gt;""),B833,"")</f>
        <v/>
      </c>
      <c r="Z833">
        <f>IF(AND(A833&lt;&gt;"Y",B833&lt;&gt;"",K833="C"),B833,"")</f>
        <v/>
      </c>
    </row>
    <row r="834">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f>IF(AND(A834&lt;&gt;"Y",B834&lt;&gt;""),B834,"")</f>
        <v/>
      </c>
      <c r="Z834">
        <f>IF(AND(A834&lt;&gt;"Y",B834&lt;&gt;"",K834="C"),B834,"")</f>
        <v/>
      </c>
    </row>
    <row r="835">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f>IF(AND(A835&lt;&gt;"Y",B835&lt;&gt;""),B835,"")</f>
        <v/>
      </c>
      <c r="Z835">
        <f>IF(AND(A835&lt;&gt;"Y",B835&lt;&gt;"",K835="C"),B835,"")</f>
        <v/>
      </c>
    </row>
    <row r="836">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f>IF(AND(A836&lt;&gt;"Y",B836&lt;&gt;""),B836,"")</f>
        <v/>
      </c>
      <c r="Z836">
        <f>IF(AND(A836&lt;&gt;"Y",B836&lt;&gt;"",K836="C"),B836,"")</f>
        <v/>
      </c>
    </row>
    <row r="837">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f>IF(AND(A837&lt;&gt;"Y",B837&lt;&gt;""),B837,"")</f>
        <v/>
      </c>
      <c r="Z837">
        <f>IF(AND(A837&lt;&gt;"Y",B837&lt;&gt;"",K837="C"),B837,"")</f>
        <v/>
      </c>
    </row>
    <row r="838">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f>IF(AND(A838&lt;&gt;"Y",B838&lt;&gt;""),B838,"")</f>
        <v/>
      </c>
      <c r="Z838">
        <f>IF(AND(A838&lt;&gt;"Y",B838&lt;&gt;"",K838="C"),B838,"")</f>
        <v/>
      </c>
    </row>
    <row r="839">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f>IF(AND(A839&lt;&gt;"Y",B839&lt;&gt;""),B839,"")</f>
        <v/>
      </c>
      <c r="Z839">
        <f>IF(AND(A839&lt;&gt;"Y",B839&lt;&gt;"",K839="C"),B839,"")</f>
        <v/>
      </c>
    </row>
    <row r="840">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f>IF(AND(A840&lt;&gt;"Y",B840&lt;&gt;""),B840,"")</f>
        <v/>
      </c>
      <c r="Z840">
        <f>IF(AND(A840&lt;&gt;"Y",B840&lt;&gt;"",K840="C"),B840,"")</f>
        <v/>
      </c>
    </row>
    <row r="841">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f>IF(AND(A841&lt;&gt;"Y",B841&lt;&gt;""),B841,"")</f>
        <v/>
      </c>
      <c r="Z841">
        <f>IF(AND(A841&lt;&gt;"Y",B841&lt;&gt;"",K841="C"),B841,"")</f>
        <v/>
      </c>
    </row>
    <row r="842">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f>IF(AND(A842&lt;&gt;"Y",B842&lt;&gt;""),B842,"")</f>
        <v/>
      </c>
      <c r="Z842">
        <f>IF(AND(A842&lt;&gt;"Y",B842&lt;&gt;"",K842="C"),B842,"")</f>
        <v/>
      </c>
    </row>
    <row r="843">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f>IF(AND(A843&lt;&gt;"Y",B843&lt;&gt;""),B843,"")</f>
        <v/>
      </c>
      <c r="Z843">
        <f>IF(AND(A843&lt;&gt;"Y",B843&lt;&gt;"",K843="C"),B843,"")</f>
        <v/>
      </c>
    </row>
    <row r="844">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f>IF(AND(A844&lt;&gt;"Y",B844&lt;&gt;""),B844,"")</f>
        <v/>
      </c>
      <c r="Z844">
        <f>IF(AND(A844&lt;&gt;"Y",B844&lt;&gt;"",K844="C"),B844,"")</f>
        <v/>
      </c>
    </row>
    <row r="845">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f>IF(AND(A845&lt;&gt;"Y",B845&lt;&gt;""),B845,"")</f>
        <v/>
      </c>
      <c r="Z845">
        <f>IF(AND(A845&lt;&gt;"Y",B845&lt;&gt;"",K845="C"),B845,"")</f>
        <v/>
      </c>
    </row>
    <row r="846">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f>IF(AND(A846&lt;&gt;"Y",B846&lt;&gt;""),B846,"")</f>
        <v/>
      </c>
      <c r="Z846">
        <f>IF(AND(A846&lt;&gt;"Y",B846&lt;&gt;"",K846="C"),B846,"")</f>
        <v/>
      </c>
    </row>
    <row r="847">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f>IF(AND(A847&lt;&gt;"Y",B847&lt;&gt;""),B847,"")</f>
        <v/>
      </c>
      <c r="Z847">
        <f>IF(AND(A847&lt;&gt;"Y",B847&lt;&gt;"",K847="C"),B847,"")</f>
        <v/>
      </c>
    </row>
    <row r="848">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f>IF(AND(A848&lt;&gt;"Y",B848&lt;&gt;""),B848,"")</f>
        <v/>
      </c>
      <c r="Z848">
        <f>IF(AND(A848&lt;&gt;"Y",B848&lt;&gt;"",K848="C"),B848,"")</f>
        <v/>
      </c>
    </row>
    <row r="849">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f>IF(AND(A849&lt;&gt;"Y",B849&lt;&gt;""),B849,"")</f>
        <v/>
      </c>
      <c r="Z849">
        <f>IF(AND(A849&lt;&gt;"Y",B849&lt;&gt;"",K849="C"),B849,"")</f>
        <v/>
      </c>
    </row>
    <row r="850">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f>IF(AND(A850&lt;&gt;"Y",B850&lt;&gt;""),B850,"")</f>
        <v/>
      </c>
      <c r="Z850">
        <f>IF(AND(A850&lt;&gt;"Y",B850&lt;&gt;"",K850="C"),B850,"")</f>
        <v/>
      </c>
    </row>
    <row r="851">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f>IF(AND(A851&lt;&gt;"Y",B851&lt;&gt;""),B851,"")</f>
        <v/>
      </c>
      <c r="Z851">
        <f>IF(AND(A851&lt;&gt;"Y",B851&lt;&gt;"",K851="C"),B851,"")</f>
        <v/>
      </c>
    </row>
    <row r="852">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f>IF(AND(A852&lt;&gt;"Y",B852&lt;&gt;""),B852,"")</f>
        <v/>
      </c>
      <c r="Z852">
        <f>IF(AND(A852&lt;&gt;"Y",B852&lt;&gt;"",K852="C"),B852,"")</f>
        <v/>
      </c>
    </row>
    <row r="853">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f>IF(AND(A853&lt;&gt;"Y",B853&lt;&gt;""),B853,"")</f>
        <v/>
      </c>
      <c r="Z853">
        <f>IF(AND(A853&lt;&gt;"Y",B853&lt;&gt;"",K853="C"),B853,"")</f>
        <v/>
      </c>
    </row>
    <row r="854">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f>IF(AND(A854&lt;&gt;"Y",B854&lt;&gt;""),B854,"")</f>
        <v/>
      </c>
      <c r="Z854">
        <f>IF(AND(A854&lt;&gt;"Y",B854&lt;&gt;"",K854="C"),B854,"")</f>
        <v/>
      </c>
    </row>
    <row r="855">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f>IF(AND(A855&lt;&gt;"Y",B855&lt;&gt;""),B855,"")</f>
        <v/>
      </c>
      <c r="Z855">
        <f>IF(AND(A855&lt;&gt;"Y",B855&lt;&gt;"",K855="C"),B855,"")</f>
        <v/>
      </c>
    </row>
    <row r="856">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f>IF(AND(A856&lt;&gt;"Y",B856&lt;&gt;""),B856,"")</f>
        <v/>
      </c>
      <c r="Z856">
        <f>IF(AND(A856&lt;&gt;"Y",B856&lt;&gt;"",K856="C"),B856,"")</f>
        <v/>
      </c>
    </row>
    <row r="857">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f>IF(AND(A857&lt;&gt;"Y",B857&lt;&gt;""),B857,"")</f>
        <v/>
      </c>
      <c r="Z857">
        <f>IF(AND(A857&lt;&gt;"Y",B857&lt;&gt;"",K857="C"),B857,"")</f>
        <v/>
      </c>
    </row>
    <row r="858">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f>IF(AND(A858&lt;&gt;"Y",B858&lt;&gt;""),B858,"")</f>
        <v/>
      </c>
      <c r="Z858">
        <f>IF(AND(A858&lt;&gt;"Y",B858&lt;&gt;"",K858="C"),B858,"")</f>
        <v/>
      </c>
    </row>
    <row r="859">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f>IF(AND(A859&lt;&gt;"Y",B859&lt;&gt;""),B859,"")</f>
        <v/>
      </c>
      <c r="Z859">
        <f>IF(AND(A859&lt;&gt;"Y",B859&lt;&gt;"",K859="C"),B859,"")</f>
        <v/>
      </c>
    </row>
    <row r="860">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f>IF(AND(A860&lt;&gt;"Y",B860&lt;&gt;""),B860,"")</f>
        <v/>
      </c>
      <c r="Z860">
        <f>IF(AND(A860&lt;&gt;"Y",B860&lt;&gt;"",K860="C"),B860,"")</f>
        <v/>
      </c>
    </row>
    <row r="861">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f>IF(AND(A861&lt;&gt;"Y",B861&lt;&gt;""),B861,"")</f>
        <v/>
      </c>
      <c r="Z861">
        <f>IF(AND(A861&lt;&gt;"Y",B861&lt;&gt;"",K861="C"),B861,"")</f>
        <v/>
      </c>
    </row>
    <row r="862">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f>IF(AND(A862&lt;&gt;"Y",B862&lt;&gt;""),B862,"")</f>
        <v/>
      </c>
      <c r="Z862">
        <f>IF(AND(A862&lt;&gt;"Y",B862&lt;&gt;"",K862="C"),B862,"")</f>
        <v/>
      </c>
    </row>
    <row r="863">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f>IF(AND(A863&lt;&gt;"Y",B863&lt;&gt;""),B863,"")</f>
        <v/>
      </c>
      <c r="Z863">
        <f>IF(AND(A863&lt;&gt;"Y",B863&lt;&gt;"",K863="C"),B863,"")</f>
        <v/>
      </c>
    </row>
    <row r="864">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f>IF(AND(A864&lt;&gt;"Y",B864&lt;&gt;""),B864,"")</f>
        <v/>
      </c>
      <c r="Z864">
        <f>IF(AND(A864&lt;&gt;"Y",B864&lt;&gt;"",K864="C"),B864,"")</f>
        <v/>
      </c>
    </row>
    <row r="865">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f>IF(AND(A865&lt;&gt;"Y",B865&lt;&gt;""),B865,"")</f>
        <v/>
      </c>
      <c r="Z865">
        <f>IF(AND(A865&lt;&gt;"Y",B865&lt;&gt;"",K865="C"),B865,"")</f>
        <v/>
      </c>
    </row>
    <row r="866">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f>IF(AND(A866&lt;&gt;"Y",B866&lt;&gt;""),B866,"")</f>
        <v/>
      </c>
      <c r="Z866">
        <f>IF(AND(A866&lt;&gt;"Y",B866&lt;&gt;"",K866="C"),B866,"")</f>
        <v/>
      </c>
    </row>
    <row r="867">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f>IF(AND(A867&lt;&gt;"Y",B867&lt;&gt;""),B867,"")</f>
        <v/>
      </c>
      <c r="Z867">
        <f>IF(AND(A867&lt;&gt;"Y",B867&lt;&gt;"",K867="C"),B867,"")</f>
        <v/>
      </c>
    </row>
    <row r="868">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f>IF(AND(A868&lt;&gt;"Y",B868&lt;&gt;""),B868,"")</f>
        <v/>
      </c>
      <c r="Z868">
        <f>IF(AND(A868&lt;&gt;"Y",B868&lt;&gt;"",K868="C"),B868,"")</f>
        <v/>
      </c>
    </row>
    <row r="869">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f>IF(AND(A869&lt;&gt;"Y",B869&lt;&gt;""),B869,"")</f>
        <v/>
      </c>
      <c r="Z869">
        <f>IF(AND(A869&lt;&gt;"Y",B869&lt;&gt;"",K869="C"),B869,"")</f>
        <v/>
      </c>
    </row>
    <row r="870">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f>IF(AND(A870&lt;&gt;"Y",B870&lt;&gt;""),B870,"")</f>
        <v/>
      </c>
      <c r="Z870">
        <f>IF(AND(A870&lt;&gt;"Y",B870&lt;&gt;"",K870="C"),B870,"")</f>
        <v/>
      </c>
    </row>
    <row r="871">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f>IF(AND(A871&lt;&gt;"Y",B871&lt;&gt;""),B871,"")</f>
        <v/>
      </c>
      <c r="Z871">
        <f>IF(AND(A871&lt;&gt;"Y",B871&lt;&gt;"",K871="C"),B871,"")</f>
        <v/>
      </c>
    </row>
    <row r="872">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f>IF(AND(A872&lt;&gt;"Y",B872&lt;&gt;""),B872,"")</f>
        <v/>
      </c>
      <c r="Z872">
        <f>IF(AND(A872&lt;&gt;"Y",B872&lt;&gt;"",K872="C"),B872,"")</f>
        <v/>
      </c>
    </row>
    <row r="873">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f>IF(AND(A873&lt;&gt;"Y",B873&lt;&gt;""),B873,"")</f>
        <v/>
      </c>
      <c r="Z873">
        <f>IF(AND(A873&lt;&gt;"Y",B873&lt;&gt;"",K873="C"),B873,"")</f>
        <v/>
      </c>
    </row>
    <row r="874">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f>IF(AND(A874&lt;&gt;"Y",B874&lt;&gt;""),B874,"")</f>
        <v/>
      </c>
      <c r="Z874">
        <f>IF(AND(A874&lt;&gt;"Y",B874&lt;&gt;"",K874="C"),B874,"")</f>
        <v/>
      </c>
    </row>
    <row r="875">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f>IF(AND(A875&lt;&gt;"Y",B875&lt;&gt;""),B875,"")</f>
        <v/>
      </c>
      <c r="Z875">
        <f>IF(AND(A875&lt;&gt;"Y",B875&lt;&gt;"",K875="C"),B875,"")</f>
        <v/>
      </c>
    </row>
    <row r="876">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f>IF(AND(A876&lt;&gt;"Y",B876&lt;&gt;""),B876,"")</f>
        <v/>
      </c>
      <c r="Z876">
        <f>IF(AND(A876&lt;&gt;"Y",B876&lt;&gt;"",K876="C"),B876,"")</f>
        <v/>
      </c>
    </row>
    <row r="877">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f>IF(AND(A877&lt;&gt;"Y",B877&lt;&gt;""),B877,"")</f>
        <v/>
      </c>
      <c r="Z877">
        <f>IF(AND(A877&lt;&gt;"Y",B877&lt;&gt;"",K877="C"),B877,"")</f>
        <v/>
      </c>
    </row>
    <row r="878">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f>IF(AND(A878&lt;&gt;"Y",B878&lt;&gt;""),B878,"")</f>
        <v/>
      </c>
      <c r="Z878">
        <f>IF(AND(A878&lt;&gt;"Y",B878&lt;&gt;"",K878="C"),B878,"")</f>
        <v/>
      </c>
    </row>
    <row r="879">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f>IF(AND(A879&lt;&gt;"Y",B879&lt;&gt;""),B879,"")</f>
        <v/>
      </c>
      <c r="Z879">
        <f>IF(AND(A879&lt;&gt;"Y",B879&lt;&gt;"",K879="C"),B879,"")</f>
        <v/>
      </c>
    </row>
    <row r="880">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f>IF(AND(A880&lt;&gt;"Y",B880&lt;&gt;""),B880,"")</f>
        <v/>
      </c>
      <c r="Z880">
        <f>IF(AND(A880&lt;&gt;"Y",B880&lt;&gt;"",K880="C"),B880,"")</f>
        <v/>
      </c>
    </row>
    <row r="881">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f>IF(AND(A881&lt;&gt;"Y",B881&lt;&gt;""),B881,"")</f>
        <v/>
      </c>
      <c r="Z881">
        <f>IF(AND(A881&lt;&gt;"Y",B881&lt;&gt;"",K881="C"),B881,"")</f>
        <v/>
      </c>
    </row>
    <row r="882">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f>IF(AND(A882&lt;&gt;"Y",B882&lt;&gt;""),B882,"")</f>
        <v/>
      </c>
      <c r="Z882">
        <f>IF(AND(A882&lt;&gt;"Y",B882&lt;&gt;"",K882="C"),B882,"")</f>
        <v/>
      </c>
    </row>
    <row r="883">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f>IF(AND(A883&lt;&gt;"Y",B883&lt;&gt;""),B883,"")</f>
        <v/>
      </c>
      <c r="Z883">
        <f>IF(AND(A883&lt;&gt;"Y",B883&lt;&gt;"",K883="C"),B883,"")</f>
        <v/>
      </c>
    </row>
    <row r="884">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f>IF(AND(A884&lt;&gt;"Y",B884&lt;&gt;""),B884,"")</f>
        <v/>
      </c>
      <c r="Z884">
        <f>IF(AND(A884&lt;&gt;"Y",B884&lt;&gt;"",K884="C"),B884,"")</f>
        <v/>
      </c>
    </row>
    <row r="885">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f>IF(AND(A885&lt;&gt;"Y",B885&lt;&gt;""),B885,"")</f>
        <v/>
      </c>
      <c r="Z885">
        <f>IF(AND(A885&lt;&gt;"Y",B885&lt;&gt;"",K885="C"),B885,"")</f>
        <v/>
      </c>
    </row>
    <row r="886">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f>IF(AND(A886&lt;&gt;"Y",B886&lt;&gt;""),B886,"")</f>
        <v/>
      </c>
      <c r="Z886">
        <f>IF(AND(A886&lt;&gt;"Y",B886&lt;&gt;"",K886="C"),B886,"")</f>
        <v/>
      </c>
    </row>
    <row r="887">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f>IF(AND(A887&lt;&gt;"Y",B887&lt;&gt;""),B887,"")</f>
        <v/>
      </c>
      <c r="Z887">
        <f>IF(AND(A887&lt;&gt;"Y",B887&lt;&gt;"",K887="C"),B887,"")</f>
        <v/>
      </c>
    </row>
    <row r="888">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f>IF(AND(A888&lt;&gt;"Y",B888&lt;&gt;""),B888,"")</f>
        <v/>
      </c>
      <c r="Z888">
        <f>IF(AND(A888&lt;&gt;"Y",B888&lt;&gt;"",K888="C"),B888,"")</f>
        <v/>
      </c>
    </row>
    <row r="889">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f>IF(AND(A889&lt;&gt;"Y",B889&lt;&gt;""),B889,"")</f>
        <v/>
      </c>
      <c r="Z889">
        <f>IF(AND(A889&lt;&gt;"Y",B889&lt;&gt;"",K889="C"),B889,"")</f>
        <v/>
      </c>
    </row>
    <row r="890">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f>IF(AND(A890&lt;&gt;"Y",B890&lt;&gt;""),B890,"")</f>
        <v/>
      </c>
      <c r="Z890">
        <f>IF(AND(A890&lt;&gt;"Y",B890&lt;&gt;"",K890="C"),B890,"")</f>
        <v/>
      </c>
    </row>
    <row r="891">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f>IF(AND(A891&lt;&gt;"Y",B891&lt;&gt;""),B891,"")</f>
        <v/>
      </c>
      <c r="Z891">
        <f>IF(AND(A891&lt;&gt;"Y",B891&lt;&gt;"",K891="C"),B891,"")</f>
        <v/>
      </c>
    </row>
    <row r="892">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f>IF(AND(A892&lt;&gt;"Y",B892&lt;&gt;""),B892,"")</f>
        <v/>
      </c>
      <c r="Z892">
        <f>IF(AND(A892&lt;&gt;"Y",B892&lt;&gt;"",K892="C"),B892,"")</f>
        <v/>
      </c>
    </row>
    <row r="893">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f>IF(AND(A893&lt;&gt;"Y",B893&lt;&gt;""),B893,"")</f>
        <v/>
      </c>
      <c r="Z893">
        <f>IF(AND(A893&lt;&gt;"Y",B893&lt;&gt;"",K893="C"),B893,"")</f>
        <v/>
      </c>
    </row>
    <row r="894">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f>IF(AND(A894&lt;&gt;"Y",B894&lt;&gt;""),B894,"")</f>
        <v/>
      </c>
      <c r="Z894">
        <f>IF(AND(A894&lt;&gt;"Y",B894&lt;&gt;"",K894="C"),B894,"")</f>
        <v/>
      </c>
    </row>
    <row r="895">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f>IF(AND(A895&lt;&gt;"Y",B895&lt;&gt;""),B895,"")</f>
        <v/>
      </c>
      <c r="Z895">
        <f>IF(AND(A895&lt;&gt;"Y",B895&lt;&gt;"",K895="C"),B895,"")</f>
        <v/>
      </c>
    </row>
    <row r="896">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f>IF(AND(A896&lt;&gt;"Y",B896&lt;&gt;""),B896,"")</f>
        <v/>
      </c>
      <c r="Z896">
        <f>IF(AND(A896&lt;&gt;"Y",B896&lt;&gt;"",K896="C"),B896,"")</f>
        <v/>
      </c>
    </row>
    <row r="897">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f>IF(AND(A897&lt;&gt;"Y",B897&lt;&gt;""),B897,"")</f>
        <v/>
      </c>
      <c r="Z897">
        <f>IF(AND(A897&lt;&gt;"Y",B897&lt;&gt;"",K897="C"),B897,"")</f>
        <v/>
      </c>
    </row>
    <row r="898">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f>IF(AND(A898&lt;&gt;"Y",B898&lt;&gt;""),B898,"")</f>
        <v/>
      </c>
      <c r="Z898">
        <f>IF(AND(A898&lt;&gt;"Y",B898&lt;&gt;"",K898="C"),B898,"")</f>
        <v/>
      </c>
    </row>
    <row r="899">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f>IF(AND(A899&lt;&gt;"Y",B899&lt;&gt;""),B899,"")</f>
        <v/>
      </c>
      <c r="Z899">
        <f>IF(AND(A899&lt;&gt;"Y",B899&lt;&gt;"",K899="C"),B899,"")</f>
        <v/>
      </c>
    </row>
    <row r="900">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f>IF(AND(A900&lt;&gt;"Y",B900&lt;&gt;""),B900,"")</f>
        <v/>
      </c>
      <c r="Z900">
        <f>IF(AND(A900&lt;&gt;"Y",B900&lt;&gt;"",K900="C"),B900,"")</f>
        <v/>
      </c>
    </row>
    <row r="901">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f>IF(AND(A901&lt;&gt;"Y",B901&lt;&gt;""),B901,"")</f>
        <v/>
      </c>
      <c r="Z901">
        <f>IF(AND(A901&lt;&gt;"Y",B901&lt;&gt;"",K901="C"),B901,"")</f>
        <v/>
      </c>
    </row>
    <row r="902">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f>IF(AND(A902&lt;&gt;"Y",B902&lt;&gt;""),B902,"")</f>
        <v/>
      </c>
      <c r="Z902">
        <f>IF(AND(A902&lt;&gt;"Y",B902&lt;&gt;"",K902="C"),B902,"")</f>
        <v/>
      </c>
    </row>
    <row r="903">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f>IF(AND(A903&lt;&gt;"Y",B903&lt;&gt;""),B903,"")</f>
        <v/>
      </c>
      <c r="Z903">
        <f>IF(AND(A903&lt;&gt;"Y",B903&lt;&gt;"",K903="C"),B903,"")</f>
        <v/>
      </c>
    </row>
    <row r="904">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f>IF(AND(A904&lt;&gt;"Y",B904&lt;&gt;""),B904,"")</f>
        <v/>
      </c>
      <c r="Z904">
        <f>IF(AND(A904&lt;&gt;"Y",B904&lt;&gt;"",K904="C"),B904,"")</f>
        <v/>
      </c>
    </row>
    <row r="905">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f>IF(AND(A905&lt;&gt;"Y",B905&lt;&gt;""),B905,"")</f>
        <v/>
      </c>
      <c r="Z905">
        <f>IF(AND(A905&lt;&gt;"Y",B905&lt;&gt;"",K905="C"),B905,"")</f>
        <v/>
      </c>
    </row>
    <row r="906">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f>IF(AND(A906&lt;&gt;"Y",B906&lt;&gt;""),B906,"")</f>
        <v/>
      </c>
      <c r="Z906">
        <f>IF(AND(A906&lt;&gt;"Y",B906&lt;&gt;"",K906="C"),B906,"")</f>
        <v/>
      </c>
    </row>
    <row r="907">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f>IF(AND(A907&lt;&gt;"Y",B907&lt;&gt;""),B907,"")</f>
        <v/>
      </c>
      <c r="Z907">
        <f>IF(AND(A907&lt;&gt;"Y",B907&lt;&gt;"",K907="C"),B907,"")</f>
        <v/>
      </c>
    </row>
    <row r="908">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f>IF(AND(A908&lt;&gt;"Y",B908&lt;&gt;""),B908,"")</f>
        <v/>
      </c>
      <c r="Z908">
        <f>IF(AND(A908&lt;&gt;"Y",B908&lt;&gt;"",K908="C"),B908,"")</f>
        <v/>
      </c>
    </row>
    <row r="909">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f>IF(AND(A909&lt;&gt;"Y",B909&lt;&gt;""),B909,"")</f>
        <v/>
      </c>
      <c r="Z909">
        <f>IF(AND(A909&lt;&gt;"Y",B909&lt;&gt;"",K909="C"),B909,"")</f>
        <v/>
      </c>
    </row>
    <row r="910">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f>IF(AND(A910&lt;&gt;"Y",B910&lt;&gt;""),B910,"")</f>
        <v/>
      </c>
      <c r="Z910">
        <f>IF(AND(A910&lt;&gt;"Y",B910&lt;&gt;"",K910="C"),B910,"")</f>
        <v/>
      </c>
    </row>
    <row r="911">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f>IF(AND(A911&lt;&gt;"Y",B911&lt;&gt;""),B911,"")</f>
        <v/>
      </c>
      <c r="Z911">
        <f>IF(AND(A911&lt;&gt;"Y",B911&lt;&gt;"",K911="C"),B911,"")</f>
        <v/>
      </c>
    </row>
    <row r="912">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f>IF(AND(A912&lt;&gt;"Y",B912&lt;&gt;""),B912,"")</f>
        <v/>
      </c>
      <c r="Z912">
        <f>IF(AND(A912&lt;&gt;"Y",B912&lt;&gt;"",K912="C"),B912,"")</f>
        <v/>
      </c>
    </row>
    <row r="913">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f>IF(AND(A913&lt;&gt;"Y",B913&lt;&gt;""),B913,"")</f>
        <v/>
      </c>
      <c r="Z913">
        <f>IF(AND(A913&lt;&gt;"Y",B913&lt;&gt;"",K913="C"),B913,"")</f>
        <v/>
      </c>
    </row>
    <row r="914">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f>IF(AND(A914&lt;&gt;"Y",B914&lt;&gt;""),B914,"")</f>
        <v/>
      </c>
      <c r="Z914">
        <f>IF(AND(A914&lt;&gt;"Y",B914&lt;&gt;"",K914="C"),B914,"")</f>
        <v/>
      </c>
    </row>
    <row r="915">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f>IF(AND(A915&lt;&gt;"Y",B915&lt;&gt;""),B915,"")</f>
        <v/>
      </c>
      <c r="Z915">
        <f>IF(AND(A915&lt;&gt;"Y",B915&lt;&gt;"",K915="C"),B915,"")</f>
        <v/>
      </c>
    </row>
    <row r="916">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f>IF(AND(A916&lt;&gt;"Y",B916&lt;&gt;""),B916,"")</f>
        <v/>
      </c>
      <c r="Z916">
        <f>IF(AND(A916&lt;&gt;"Y",B916&lt;&gt;"",K916="C"),B916,"")</f>
        <v/>
      </c>
    </row>
    <row r="917">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f>IF(AND(A917&lt;&gt;"Y",B917&lt;&gt;""),B917,"")</f>
        <v/>
      </c>
      <c r="Z917">
        <f>IF(AND(A917&lt;&gt;"Y",B917&lt;&gt;"",K917="C"),B917,"")</f>
        <v/>
      </c>
    </row>
    <row r="918">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f>IF(AND(A918&lt;&gt;"Y",B918&lt;&gt;""),B918,"")</f>
        <v/>
      </c>
      <c r="Z918">
        <f>IF(AND(A918&lt;&gt;"Y",B918&lt;&gt;"",K918="C"),B918,"")</f>
        <v/>
      </c>
    </row>
    <row r="919">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f>IF(AND(A919&lt;&gt;"Y",B919&lt;&gt;""),B919,"")</f>
        <v/>
      </c>
      <c r="Z919">
        <f>IF(AND(A919&lt;&gt;"Y",B919&lt;&gt;"",K919="C"),B919,"")</f>
        <v/>
      </c>
    </row>
    <row r="920">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f>IF(AND(A920&lt;&gt;"Y",B920&lt;&gt;""),B920,"")</f>
        <v/>
      </c>
      <c r="Z920">
        <f>IF(AND(A920&lt;&gt;"Y",B920&lt;&gt;"",K920="C"),B920,"")</f>
        <v/>
      </c>
    </row>
    <row r="921">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f>IF(AND(A921&lt;&gt;"Y",B921&lt;&gt;""),B921,"")</f>
        <v/>
      </c>
      <c r="Z921">
        <f>IF(AND(A921&lt;&gt;"Y",B921&lt;&gt;"",K921="C"),B921,"")</f>
        <v/>
      </c>
    </row>
    <row r="922">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f>IF(AND(A922&lt;&gt;"Y",B922&lt;&gt;""),B922,"")</f>
        <v/>
      </c>
      <c r="Z922">
        <f>IF(AND(A922&lt;&gt;"Y",B922&lt;&gt;"",K922="C"),B922,"")</f>
        <v/>
      </c>
    </row>
    <row r="923">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f>IF(AND(A923&lt;&gt;"Y",B923&lt;&gt;""),B923,"")</f>
        <v/>
      </c>
      <c r="Z923">
        <f>IF(AND(A923&lt;&gt;"Y",B923&lt;&gt;"",K923="C"),B923,"")</f>
        <v/>
      </c>
    </row>
    <row r="924">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f>IF(AND(A924&lt;&gt;"Y",B924&lt;&gt;""),B924,"")</f>
        <v/>
      </c>
      <c r="Z924">
        <f>IF(AND(A924&lt;&gt;"Y",B924&lt;&gt;"",K924="C"),B924,"")</f>
        <v/>
      </c>
    </row>
    <row r="925">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f>IF(AND(A925&lt;&gt;"Y",B925&lt;&gt;""),B925,"")</f>
        <v/>
      </c>
      <c r="Z925">
        <f>IF(AND(A925&lt;&gt;"Y",B925&lt;&gt;"",K925="C"),B925,"")</f>
        <v/>
      </c>
    </row>
    <row r="926">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f>IF(AND(A926&lt;&gt;"Y",B926&lt;&gt;""),B926,"")</f>
        <v/>
      </c>
      <c r="Z926">
        <f>IF(AND(A926&lt;&gt;"Y",B926&lt;&gt;"",K926="C"),B926,"")</f>
        <v/>
      </c>
    </row>
    <row r="927">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f>IF(AND(A927&lt;&gt;"Y",B927&lt;&gt;""),B927,"")</f>
        <v/>
      </c>
      <c r="Z927">
        <f>IF(AND(A927&lt;&gt;"Y",B927&lt;&gt;"",K927="C"),B927,"")</f>
        <v/>
      </c>
    </row>
    <row r="928">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f>IF(AND(A928&lt;&gt;"Y",B928&lt;&gt;""),B928,"")</f>
        <v/>
      </c>
      <c r="Z928">
        <f>IF(AND(A928&lt;&gt;"Y",B928&lt;&gt;"",K928="C"),B928,"")</f>
        <v/>
      </c>
    </row>
    <row r="929">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f>IF(AND(A929&lt;&gt;"Y",B929&lt;&gt;""),B929,"")</f>
        <v/>
      </c>
      <c r="Z929">
        <f>IF(AND(A929&lt;&gt;"Y",B929&lt;&gt;"",K929="C"),B929,"")</f>
        <v/>
      </c>
    </row>
    <row r="930">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f>IF(AND(A930&lt;&gt;"Y",B930&lt;&gt;""),B930,"")</f>
        <v/>
      </c>
      <c r="Z930">
        <f>IF(AND(A930&lt;&gt;"Y",B930&lt;&gt;"",K930="C"),B930,"")</f>
        <v/>
      </c>
    </row>
    <row r="931">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f>IF(AND(A931&lt;&gt;"Y",B931&lt;&gt;""),B931,"")</f>
        <v/>
      </c>
      <c r="Z931">
        <f>IF(AND(A931&lt;&gt;"Y",B931&lt;&gt;"",K931="C"),B931,"")</f>
        <v/>
      </c>
    </row>
    <row r="932">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f>IF(AND(A932&lt;&gt;"Y",B932&lt;&gt;""),B932,"")</f>
        <v/>
      </c>
      <c r="Z932">
        <f>IF(AND(A932&lt;&gt;"Y",B932&lt;&gt;"",K932="C"),B932,"")</f>
        <v/>
      </c>
    </row>
    <row r="933">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f>IF(AND(A933&lt;&gt;"Y",B933&lt;&gt;""),B933,"")</f>
        <v/>
      </c>
      <c r="Z933">
        <f>IF(AND(A933&lt;&gt;"Y",B933&lt;&gt;"",K933="C"),B933,"")</f>
        <v/>
      </c>
    </row>
    <row r="934">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f>IF(AND(A934&lt;&gt;"Y",B934&lt;&gt;""),B934,"")</f>
        <v/>
      </c>
      <c r="Z934">
        <f>IF(AND(A934&lt;&gt;"Y",B934&lt;&gt;"",K934="C"),B934,"")</f>
        <v/>
      </c>
    </row>
    <row r="935">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f>IF(AND(A935&lt;&gt;"Y",B935&lt;&gt;""),B935,"")</f>
        <v/>
      </c>
      <c r="Z935">
        <f>IF(AND(A935&lt;&gt;"Y",B935&lt;&gt;"",K935="C"),B935,"")</f>
        <v/>
      </c>
    </row>
    <row r="936">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f>IF(AND(A936&lt;&gt;"Y",B936&lt;&gt;""),B936,"")</f>
        <v/>
      </c>
      <c r="Z936">
        <f>IF(AND(A936&lt;&gt;"Y",B936&lt;&gt;"",K936="C"),B936,"")</f>
        <v/>
      </c>
    </row>
    <row r="937">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f>IF(AND(A937&lt;&gt;"Y",B937&lt;&gt;""),B937,"")</f>
        <v/>
      </c>
      <c r="Z937">
        <f>IF(AND(A937&lt;&gt;"Y",B937&lt;&gt;"",K937="C"),B937,"")</f>
        <v/>
      </c>
    </row>
    <row r="938">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f>IF(AND(A938&lt;&gt;"Y",B938&lt;&gt;""),B938,"")</f>
        <v/>
      </c>
      <c r="Z938">
        <f>IF(AND(A938&lt;&gt;"Y",B938&lt;&gt;"",K938="C"),B938,"")</f>
        <v/>
      </c>
    </row>
    <row r="939">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f>IF(AND(A939&lt;&gt;"Y",B939&lt;&gt;""),B939,"")</f>
        <v/>
      </c>
      <c r="Z939">
        <f>IF(AND(A939&lt;&gt;"Y",B939&lt;&gt;"",K939="C"),B939,"")</f>
        <v/>
      </c>
    </row>
    <row r="940">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f>IF(AND(A940&lt;&gt;"Y",B940&lt;&gt;""),B940,"")</f>
        <v/>
      </c>
      <c r="Z940">
        <f>IF(AND(A940&lt;&gt;"Y",B940&lt;&gt;"",K940="C"),B940,"")</f>
        <v/>
      </c>
    </row>
    <row r="941">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f>IF(AND(A941&lt;&gt;"Y",B941&lt;&gt;""),B941,"")</f>
        <v/>
      </c>
      <c r="Z941">
        <f>IF(AND(A941&lt;&gt;"Y",B941&lt;&gt;"",K941="C"),B941,"")</f>
        <v/>
      </c>
    </row>
    <row r="942">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f>IF(AND(A942&lt;&gt;"Y",B942&lt;&gt;""),B942,"")</f>
        <v/>
      </c>
      <c r="Z942">
        <f>IF(AND(A942&lt;&gt;"Y",B942&lt;&gt;"",K942="C"),B942,"")</f>
        <v/>
      </c>
    </row>
    <row r="943">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f>IF(AND(A943&lt;&gt;"Y",B943&lt;&gt;""),B943,"")</f>
        <v/>
      </c>
      <c r="Z943">
        <f>IF(AND(A943&lt;&gt;"Y",B943&lt;&gt;"",K943="C"),B943,"")</f>
        <v/>
      </c>
    </row>
    <row r="944">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f>IF(AND(A944&lt;&gt;"Y",B944&lt;&gt;""),B944,"")</f>
        <v/>
      </c>
      <c r="Z944">
        <f>IF(AND(A944&lt;&gt;"Y",B944&lt;&gt;"",K944="C"),B944,"")</f>
        <v/>
      </c>
    </row>
    <row r="945">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f>IF(AND(A945&lt;&gt;"Y",B945&lt;&gt;""),B945,"")</f>
        <v/>
      </c>
      <c r="Z945">
        <f>IF(AND(A945&lt;&gt;"Y",B945&lt;&gt;"",K945="C"),B945,"")</f>
        <v/>
      </c>
    </row>
    <row r="946">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f>IF(AND(A946&lt;&gt;"Y",B946&lt;&gt;""),B946,"")</f>
        <v/>
      </c>
      <c r="Z946">
        <f>IF(AND(A946&lt;&gt;"Y",B946&lt;&gt;"",K946="C"),B946,"")</f>
        <v/>
      </c>
    </row>
    <row r="947">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f>IF(AND(A947&lt;&gt;"Y",B947&lt;&gt;""),B947,"")</f>
        <v/>
      </c>
      <c r="Z947">
        <f>IF(AND(A947&lt;&gt;"Y",B947&lt;&gt;"",K947="C"),B947,"")</f>
        <v/>
      </c>
    </row>
    <row r="948">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f>IF(AND(A948&lt;&gt;"Y",B948&lt;&gt;""),B948,"")</f>
        <v/>
      </c>
      <c r="Z948">
        <f>IF(AND(A948&lt;&gt;"Y",B948&lt;&gt;"",K948="C"),B948,"")</f>
        <v/>
      </c>
    </row>
    <row r="949">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f>IF(AND(A949&lt;&gt;"Y",B949&lt;&gt;""),B949,"")</f>
        <v/>
      </c>
      <c r="Z949">
        <f>IF(AND(A949&lt;&gt;"Y",B949&lt;&gt;"",K949="C"),B949,"")</f>
        <v/>
      </c>
    </row>
    <row r="950">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f>IF(AND(A950&lt;&gt;"Y",B950&lt;&gt;""),B950,"")</f>
        <v/>
      </c>
      <c r="Z950">
        <f>IF(AND(A950&lt;&gt;"Y",B950&lt;&gt;"",K950="C"),B950,"")</f>
        <v/>
      </c>
    </row>
    <row r="951">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f>IF(AND(A951&lt;&gt;"Y",B951&lt;&gt;""),B951,"")</f>
        <v/>
      </c>
      <c r="Z951">
        <f>IF(AND(A951&lt;&gt;"Y",B951&lt;&gt;"",K951="C"),B951,"")</f>
        <v/>
      </c>
    </row>
    <row r="952">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f>IF(AND(A952&lt;&gt;"Y",B952&lt;&gt;""),B952,"")</f>
        <v/>
      </c>
      <c r="Z952">
        <f>IF(AND(A952&lt;&gt;"Y",B952&lt;&gt;"",K952="C"),B952,"")</f>
        <v/>
      </c>
    </row>
    <row r="953">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f>IF(AND(A953&lt;&gt;"Y",B953&lt;&gt;""),B953,"")</f>
        <v/>
      </c>
      <c r="Z953">
        <f>IF(AND(A953&lt;&gt;"Y",B953&lt;&gt;"",K953="C"),B953,"")</f>
        <v/>
      </c>
    </row>
    <row r="954">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f>IF(AND(A954&lt;&gt;"Y",B954&lt;&gt;""),B954,"")</f>
        <v/>
      </c>
      <c r="Z954">
        <f>IF(AND(A954&lt;&gt;"Y",B954&lt;&gt;"",K954="C"),B954,"")</f>
        <v/>
      </c>
    </row>
    <row r="955">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f>IF(AND(A955&lt;&gt;"Y",B955&lt;&gt;""),B955,"")</f>
        <v/>
      </c>
      <c r="Z955">
        <f>IF(AND(A955&lt;&gt;"Y",B955&lt;&gt;"",K955="C"),B955,"")</f>
        <v/>
      </c>
    </row>
    <row r="956">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f>IF(AND(A956&lt;&gt;"Y",B956&lt;&gt;""),B956,"")</f>
        <v/>
      </c>
      <c r="Z956">
        <f>IF(AND(A956&lt;&gt;"Y",B956&lt;&gt;"",K956="C"),B956,"")</f>
        <v/>
      </c>
    </row>
    <row r="957">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f>IF(AND(A957&lt;&gt;"Y",B957&lt;&gt;""),B957,"")</f>
        <v/>
      </c>
      <c r="Z957">
        <f>IF(AND(A957&lt;&gt;"Y",B957&lt;&gt;"",K957="C"),B957,"")</f>
        <v/>
      </c>
    </row>
    <row r="958">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f>IF(AND(A958&lt;&gt;"Y",B958&lt;&gt;""),B958,"")</f>
        <v/>
      </c>
      <c r="Z958">
        <f>IF(AND(A958&lt;&gt;"Y",B958&lt;&gt;"",K958="C"),B958,"")</f>
        <v/>
      </c>
    </row>
    <row r="959">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f>IF(AND(A959&lt;&gt;"Y",B959&lt;&gt;""),B959,"")</f>
        <v/>
      </c>
      <c r="Z959">
        <f>IF(AND(A959&lt;&gt;"Y",B959&lt;&gt;"",K959="C"),B959,"")</f>
        <v/>
      </c>
    </row>
    <row r="960">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f>IF(AND(A960&lt;&gt;"Y",B960&lt;&gt;""),B960,"")</f>
        <v/>
      </c>
      <c r="Z960">
        <f>IF(AND(A960&lt;&gt;"Y",B960&lt;&gt;"",K960="C"),B960,"")</f>
        <v/>
      </c>
    </row>
    <row r="961">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f>IF(AND(A961&lt;&gt;"Y",B961&lt;&gt;""),B961,"")</f>
        <v/>
      </c>
      <c r="Z961">
        <f>IF(AND(A961&lt;&gt;"Y",B961&lt;&gt;"",K961="C"),B961,"")</f>
        <v/>
      </c>
    </row>
    <row r="962">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f>IF(AND(A962&lt;&gt;"Y",B962&lt;&gt;""),B962,"")</f>
        <v/>
      </c>
      <c r="Z962">
        <f>IF(AND(A962&lt;&gt;"Y",B962&lt;&gt;"",K962="C"),B962,"")</f>
        <v/>
      </c>
    </row>
    <row r="963">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f>IF(AND(A963&lt;&gt;"Y",B963&lt;&gt;""),B963,"")</f>
        <v/>
      </c>
      <c r="Z963">
        <f>IF(AND(A963&lt;&gt;"Y",B963&lt;&gt;"",K963="C"),B963,"")</f>
        <v/>
      </c>
    </row>
    <row r="964">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f>IF(AND(A964&lt;&gt;"Y",B964&lt;&gt;""),B964,"")</f>
        <v/>
      </c>
      <c r="Z964">
        <f>IF(AND(A964&lt;&gt;"Y",B964&lt;&gt;"",K964="C"),B964,"")</f>
        <v/>
      </c>
    </row>
    <row r="965">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f>IF(AND(A965&lt;&gt;"Y",B965&lt;&gt;""),B965,"")</f>
        <v/>
      </c>
      <c r="Z965">
        <f>IF(AND(A965&lt;&gt;"Y",B965&lt;&gt;"",K965="C"),B965,"")</f>
        <v/>
      </c>
    </row>
    <row r="966">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f>IF(AND(A966&lt;&gt;"Y",B966&lt;&gt;""),B966,"")</f>
        <v/>
      </c>
      <c r="Z966">
        <f>IF(AND(A966&lt;&gt;"Y",B966&lt;&gt;"",K966="C"),B966,"")</f>
        <v/>
      </c>
    </row>
    <row r="967">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f>IF(AND(A967&lt;&gt;"Y",B967&lt;&gt;""),B967,"")</f>
        <v/>
      </c>
      <c r="Z967">
        <f>IF(AND(A967&lt;&gt;"Y",B967&lt;&gt;"",K967="C"),B967,"")</f>
        <v/>
      </c>
    </row>
    <row r="968">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f>IF(AND(A968&lt;&gt;"Y",B968&lt;&gt;""),B968,"")</f>
        <v/>
      </c>
      <c r="Z968">
        <f>IF(AND(A968&lt;&gt;"Y",B968&lt;&gt;"",K968="C"),B968,"")</f>
        <v/>
      </c>
    </row>
    <row r="969">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f>IF(AND(A969&lt;&gt;"Y",B969&lt;&gt;""),B969,"")</f>
        <v/>
      </c>
      <c r="Z969">
        <f>IF(AND(A969&lt;&gt;"Y",B969&lt;&gt;"",K969="C"),B969,"")</f>
        <v/>
      </c>
    </row>
    <row r="970">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f>IF(AND(A970&lt;&gt;"Y",B970&lt;&gt;""),B970,"")</f>
        <v/>
      </c>
      <c r="Z970">
        <f>IF(AND(A970&lt;&gt;"Y",B970&lt;&gt;"",K970="C"),B970,"")</f>
        <v/>
      </c>
    </row>
    <row r="971">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f>IF(AND(A971&lt;&gt;"Y",B971&lt;&gt;""),B971,"")</f>
        <v/>
      </c>
      <c r="Z971">
        <f>IF(AND(A971&lt;&gt;"Y",B971&lt;&gt;"",K971="C"),B971,"")</f>
        <v/>
      </c>
    </row>
    <row r="972">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f>IF(AND(A972&lt;&gt;"Y",B972&lt;&gt;""),B972,"")</f>
        <v/>
      </c>
      <c r="Z972">
        <f>IF(AND(A972&lt;&gt;"Y",B972&lt;&gt;"",K972="C"),B972,"")</f>
        <v/>
      </c>
    </row>
    <row r="973">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f>IF(AND(A973&lt;&gt;"Y",B973&lt;&gt;""),B973,"")</f>
        <v/>
      </c>
      <c r="Z973">
        <f>IF(AND(A973&lt;&gt;"Y",B973&lt;&gt;"",K973="C"),B973,"")</f>
        <v/>
      </c>
    </row>
    <row r="974">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f>IF(AND(A974&lt;&gt;"Y",B974&lt;&gt;""),B974,"")</f>
        <v/>
      </c>
      <c r="Z974">
        <f>IF(AND(A974&lt;&gt;"Y",B974&lt;&gt;"",K974="C"),B974,"")</f>
        <v/>
      </c>
    </row>
    <row r="975">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f>IF(AND(A975&lt;&gt;"Y",B975&lt;&gt;""),B975,"")</f>
        <v/>
      </c>
      <c r="Z975">
        <f>IF(AND(A975&lt;&gt;"Y",B975&lt;&gt;"",K975="C"),B975,"")</f>
        <v/>
      </c>
    </row>
    <row r="976">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f>IF(AND(A976&lt;&gt;"Y",B976&lt;&gt;""),B976,"")</f>
        <v/>
      </c>
      <c r="Z976">
        <f>IF(AND(A976&lt;&gt;"Y",B976&lt;&gt;"",K976="C"),B976,"")</f>
        <v/>
      </c>
    </row>
    <row r="977">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f>IF(AND(A977&lt;&gt;"Y",B977&lt;&gt;""),B977,"")</f>
        <v/>
      </c>
      <c r="Z977">
        <f>IF(AND(A977&lt;&gt;"Y",B977&lt;&gt;"",K977="C"),B977,"")</f>
        <v/>
      </c>
    </row>
    <row r="978">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f>IF(AND(A978&lt;&gt;"Y",B978&lt;&gt;""),B978,"")</f>
        <v/>
      </c>
      <c r="Z978">
        <f>IF(AND(A978&lt;&gt;"Y",B978&lt;&gt;"",K978="C"),B978,"")</f>
        <v/>
      </c>
    </row>
    <row r="979">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f>IF(AND(A979&lt;&gt;"Y",B979&lt;&gt;""),B979,"")</f>
        <v/>
      </c>
      <c r="Z979">
        <f>IF(AND(A979&lt;&gt;"Y",B979&lt;&gt;"",K979="C"),B979,"")</f>
        <v/>
      </c>
    </row>
    <row r="980">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f>IF(AND(A980&lt;&gt;"Y",B980&lt;&gt;""),B980,"")</f>
        <v/>
      </c>
      <c r="Z980">
        <f>IF(AND(A980&lt;&gt;"Y",B980&lt;&gt;"",K980="C"),B980,"")</f>
        <v/>
      </c>
    </row>
    <row r="981">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f>IF(AND(A981&lt;&gt;"Y",B981&lt;&gt;""),B981,"")</f>
        <v/>
      </c>
      <c r="Z981">
        <f>IF(AND(A981&lt;&gt;"Y",B981&lt;&gt;"",K981="C"),B981,"")</f>
        <v/>
      </c>
    </row>
    <row r="982">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f>IF(AND(A982&lt;&gt;"Y",B982&lt;&gt;""),B982,"")</f>
        <v/>
      </c>
      <c r="Z982">
        <f>IF(AND(A982&lt;&gt;"Y",B982&lt;&gt;"",K982="C"),B982,"")</f>
        <v/>
      </c>
    </row>
    <row r="983">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f>IF(AND(A983&lt;&gt;"Y",B983&lt;&gt;""),B983,"")</f>
        <v/>
      </c>
      <c r="Z983">
        <f>IF(AND(A983&lt;&gt;"Y",B983&lt;&gt;"",K983="C"),B983,"")</f>
        <v/>
      </c>
    </row>
    <row r="984">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f>IF(AND(A984&lt;&gt;"Y",B984&lt;&gt;""),B984,"")</f>
        <v/>
      </c>
      <c r="Z984">
        <f>IF(AND(A984&lt;&gt;"Y",B984&lt;&gt;"",K984="C"),B984,"")</f>
        <v/>
      </c>
    </row>
    <row r="985">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f>IF(AND(A985&lt;&gt;"Y",B985&lt;&gt;""),B985,"")</f>
        <v/>
      </c>
      <c r="Z985">
        <f>IF(AND(A985&lt;&gt;"Y",B985&lt;&gt;"",K985="C"),B985,"")</f>
        <v/>
      </c>
    </row>
    <row r="986">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f>IF(AND(A986&lt;&gt;"Y",B986&lt;&gt;""),B986,"")</f>
        <v/>
      </c>
      <c r="Z986">
        <f>IF(AND(A986&lt;&gt;"Y",B986&lt;&gt;"",K986="C"),B986,"")</f>
        <v/>
      </c>
    </row>
    <row r="987">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f>IF(AND(A987&lt;&gt;"Y",B987&lt;&gt;""),B987,"")</f>
        <v/>
      </c>
      <c r="Z987">
        <f>IF(AND(A987&lt;&gt;"Y",B987&lt;&gt;"",K987="C"),B987,"")</f>
        <v/>
      </c>
    </row>
    <row r="988">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f>IF(AND(A988&lt;&gt;"Y",B988&lt;&gt;""),B988,"")</f>
        <v/>
      </c>
      <c r="Z988">
        <f>IF(AND(A988&lt;&gt;"Y",B988&lt;&gt;"",K988="C"),B988,"")</f>
        <v/>
      </c>
    </row>
    <row r="989">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f>IF(AND(A989&lt;&gt;"Y",B989&lt;&gt;""),B989,"")</f>
        <v/>
      </c>
      <c r="Z989">
        <f>IF(AND(A989&lt;&gt;"Y",B989&lt;&gt;"",K989="C"),B989,"")</f>
        <v/>
      </c>
    </row>
    <row r="990">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f>IF(AND(A990&lt;&gt;"Y",B990&lt;&gt;""),B990,"")</f>
        <v/>
      </c>
      <c r="Z990">
        <f>IF(AND(A990&lt;&gt;"Y",B990&lt;&gt;"",K990="C"),B990,"")</f>
        <v/>
      </c>
    </row>
    <row r="991">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f>IF(AND(A991&lt;&gt;"Y",B991&lt;&gt;""),B991,"")</f>
        <v/>
      </c>
      <c r="Z991">
        <f>IF(AND(A991&lt;&gt;"Y",B991&lt;&gt;"",K991="C"),B991,"")</f>
        <v/>
      </c>
    </row>
    <row r="992">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f>IF(AND(A992&lt;&gt;"Y",B992&lt;&gt;""),B992,"")</f>
        <v/>
      </c>
      <c r="Z992">
        <f>IF(AND(A992&lt;&gt;"Y",B992&lt;&gt;"",K992="C"),B992,"")</f>
        <v/>
      </c>
    </row>
    <row r="993">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f>IF(AND(A993&lt;&gt;"Y",B993&lt;&gt;""),B993,"")</f>
        <v/>
      </c>
      <c r="Z993">
        <f>IF(AND(A993&lt;&gt;"Y",B993&lt;&gt;"",K993="C"),B993,"")</f>
        <v/>
      </c>
    </row>
    <row r="994">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f>IF(AND(A994&lt;&gt;"Y",B994&lt;&gt;""),B994,"")</f>
        <v/>
      </c>
      <c r="Z994">
        <f>IF(AND(A994&lt;&gt;"Y",B994&lt;&gt;"",K994="C"),B994,"")</f>
        <v/>
      </c>
    </row>
    <row r="995">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f>IF(AND(A995&lt;&gt;"Y",B995&lt;&gt;""),B995,"")</f>
        <v/>
      </c>
      <c r="Z995">
        <f>IF(AND(A995&lt;&gt;"Y",B995&lt;&gt;"",K995="C"),B995,"")</f>
        <v/>
      </c>
    </row>
    <row r="996">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f>IF(AND(A996&lt;&gt;"Y",B996&lt;&gt;""),B996,"")</f>
        <v/>
      </c>
      <c r="Z996">
        <f>IF(AND(A996&lt;&gt;"Y",B996&lt;&gt;"",K996="C"),B996,"")</f>
        <v/>
      </c>
    </row>
    <row r="997">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f>IF(AND(A997&lt;&gt;"Y",B997&lt;&gt;""),B997,"")</f>
        <v/>
      </c>
      <c r="Z997">
        <f>IF(AND(A997&lt;&gt;"Y",B997&lt;&gt;"",K997="C"),B997,"")</f>
        <v/>
      </c>
    </row>
    <row r="998">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f>IF(AND(A998&lt;&gt;"Y",B998&lt;&gt;""),B998,"")</f>
        <v/>
      </c>
      <c r="Z998">
        <f>IF(AND(A998&lt;&gt;"Y",B998&lt;&gt;"",K998="C"),B998,"")</f>
        <v/>
      </c>
    </row>
    <row r="999">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f>IF(AND(A999&lt;&gt;"Y",B999&lt;&gt;""),B999,"")</f>
        <v/>
      </c>
      <c r="Z999">
        <f>IF(AND(A999&lt;&gt;"Y",B999&lt;&gt;"",K999="C"),B999,"")</f>
        <v/>
      </c>
    </row>
    <row r="1000">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f>IF(AND(A1000&lt;&gt;"Y",B1000&lt;&gt;""),B1000,"")</f>
        <v/>
      </c>
      <c r="Z1000">
        <f>IF(AND(A1000&lt;&gt;"Y",B1000&lt;&gt;"",K1000="C"),B1000,"")</f>
        <v/>
      </c>
    </row>
  </sheetData>
  <dataValidations count="13">
    <dataValidation sqref="A2:A1000" showDropDown="0" showInputMessage="0" showErrorMessage="0" allowBlank="1" type="list">
      <formula1>"Y"</formula1>
    </dataValidation>
    <dataValidation sqref="D2:D1000" showDropDown="0" showInputMessage="0" showErrorMessage="0" allowBlank="1" type="list">
      <formula1>"Case report,Case series,Retrospective cohort,Prospective cohort,Registry,RCT"</formula1>
    </dataValidation>
    <dataValidation sqref="H2:H1000" showDropDown="0" showInputMessage="0" showErrorMessage="0" allowBlank="1" type="list">
      <formula1>"M,F,Not stated"</formula1>
    </dataValidation>
    <dataValidation sqref="J2:J1000" showDropDown="0" showInputMessage="0" showErrorMessage="0" allowBlank="1" type="list">
      <formula1>"Single,Double,Triple,Not specified"</formula1>
    </dataValidation>
    <dataValidation sqref="K2:K1000" showDropDown="0" showInputMessage="0" showErrorMessage="0" allowBlank="1" type="list">
      <formula1>"A,B,C"</formula1>
    </dataValidation>
    <dataValidation sqref="M2:M1000" showDropDown="0" showInputMessage="0" showErrorMessage="0" allowBlank="1" type="list">
      <formula1>"Chemotherapy,Radiotherapy,Chemo+Radio,Surgery only,None active,Remission"</formula1>
    </dataValidation>
    <dataValidation sqref="O2:O1000" showDropDown="0" showInputMessage="0" showErrorMessage="0" allowBlank="1" type="list">
      <formula1>"Venous,Arterial,Both,Microvascular"</formula1>
    </dataValidation>
    <dataValidation sqref="P2:P1000" showDropDown="0" showInputMessage="0" showErrorMessage="0" allowBlank="1" type="list">
      <formula1>"VKA,DOAC,LMWH,UFH,Switched,Other"</formula1>
    </dataValidation>
    <dataValidation sqref="Q2:Q1000" showDropDown="0" showInputMessage="0" showErrorMessage="0" allowBlank="1" type="list">
      <formula1>"Y,N"</formula1>
    </dataValidation>
    <dataValidation sqref="S2:S1000" showDropDown="0" showInputMessage="0" showErrorMessage="0" allowBlank="1" type="list">
      <formula1>"Y,N,NA"</formula1>
    </dataValidation>
    <dataValidation sqref="T2:T1000" showDropDown="0" showInputMessage="0" showErrorMessage="0" allowBlank="1" type="list">
      <formula1>"Y,N,NA"</formula1>
    </dataValidation>
    <dataValidation sqref="V2:V1000" showDropDown="0" showInputMessage="0" showErrorMessage="0" allowBlank="1" type="list">
      <formula1>"Y,N,Unclear"</formula1>
    </dataValidation>
    <dataValidation sqref="R2:R1000" showDropDown="0" showInputMessage="0" showErrorMessage="0" allowBlank="1" type="list">
      <formula1>"Y,N,NA"</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X1000"/>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3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30" customWidth="1" min="22" max="22"/>
    <col width="30" customWidth="1" min="23" max="23"/>
    <col width="20" customWidth="1" min="24" max="24"/>
  </cols>
  <sheetData>
    <row r="1" ht="30" customHeight="1">
      <c r="A1" s="7" t="inlineStr">
        <is>
          <t>Is_Example</t>
        </is>
      </c>
      <c r="B1" s="7" t="inlineStr">
        <is>
          <t>Study_ID</t>
        </is>
      </c>
      <c r="C1" s="7" t="inlineStr">
        <is>
          <t>Design</t>
        </is>
      </c>
      <c r="D1" s="7" t="inlineStr">
        <is>
          <t>Comparison</t>
        </is>
      </c>
      <c r="E1" s="7" t="inlineStr">
        <is>
          <t>Population_subgroup</t>
        </is>
      </c>
      <c r="F1" s="7" t="inlineStr">
        <is>
          <t>Reports_cancer_status</t>
        </is>
      </c>
      <c r="G1" s="7" t="inlineStr">
        <is>
          <t>Cancer_status_stratum</t>
        </is>
      </c>
      <c r="H1" s="7" t="inlineStr">
        <is>
          <t>Outcome</t>
        </is>
      </c>
      <c r="I1" s="7" t="inlineStr">
        <is>
          <t>Effect_measure</t>
        </is>
      </c>
      <c r="J1" s="7" t="inlineStr">
        <is>
          <t>Estimate</t>
        </is>
      </c>
      <c r="K1" s="7" t="inlineStr">
        <is>
          <t>CI_lower</t>
        </is>
      </c>
      <c r="L1" s="7" t="inlineStr">
        <is>
          <t>CI_upper</t>
        </is>
      </c>
      <c r="M1" s="7" t="inlineStr">
        <is>
          <t>Arm1_label</t>
        </is>
      </c>
      <c r="N1" s="7" t="inlineStr">
        <is>
          <t>Events_arm1</t>
        </is>
      </c>
      <c r="O1" s="7" t="inlineStr">
        <is>
          <t>N_arm1</t>
        </is>
      </c>
      <c r="P1" s="7" t="inlineStr">
        <is>
          <t>Arm2_label</t>
        </is>
      </c>
      <c r="Q1" s="7" t="inlineStr">
        <is>
          <t>Events_arm2</t>
        </is>
      </c>
      <c r="R1" s="7" t="inlineStr">
        <is>
          <t>N_arm2</t>
        </is>
      </c>
      <c r="S1" s="7" t="inlineStr">
        <is>
          <t>Follow_up</t>
        </is>
      </c>
      <c r="T1" s="7" t="inlineStr">
        <is>
          <t>RoB_tool</t>
        </is>
      </c>
      <c r="U1" s="7" t="inlineStr">
        <is>
          <t>RoB_overall</t>
        </is>
      </c>
      <c r="V1" s="7" t="inlineStr">
        <is>
          <t>Full_citation</t>
        </is>
      </c>
      <c r="W1" s="7" t="inlineStr">
        <is>
          <t>Notes</t>
        </is>
      </c>
      <c r="X1" s="8" t="inlineStr">
        <is>
          <t>StudyKey_ifReal (helper — do not edit)</t>
        </is>
      </c>
    </row>
    <row r="2">
      <c r="A2" s="9" t="inlineStr">
        <is>
          <t>Y</t>
        </is>
      </c>
      <c r="B2" s="9" t="inlineStr">
        <is>
          <t>Pengo_2018_TRAPS</t>
        </is>
      </c>
      <c r="C2" s="9" t="inlineStr">
        <is>
          <t>RCT</t>
        </is>
      </c>
      <c r="D2" s="9" t="inlineStr">
        <is>
          <t>Rivaroxaban vs VKA</t>
        </is>
      </c>
      <c r="E2" s="9" t="inlineStr">
        <is>
          <t>Triple-positive only</t>
        </is>
      </c>
      <c r="F2" s="9" t="inlineStr">
        <is>
          <t>Y</t>
        </is>
      </c>
      <c r="G2" s="9" t="inlineStr">
        <is>
          <t>Cancer excluded by design</t>
        </is>
      </c>
      <c r="H2" s="9" t="inlineStr">
        <is>
          <t>Any recurrent thrombosis</t>
        </is>
      </c>
      <c r="I2" s="9" t="inlineStr">
        <is>
          <t>HR</t>
        </is>
      </c>
      <c r="J2" s="9" t="n">
        <v>6.7</v>
      </c>
      <c r="K2" s="9" t="n">
        <v>1.5</v>
      </c>
      <c r="L2" s="9" t="n">
        <v>30.5</v>
      </c>
      <c r="M2" s="9" t="inlineStr">
        <is>
          <t>Rivaroxaban</t>
        </is>
      </c>
      <c r="N2" s="9" t="n">
        <v>6</v>
      </c>
      <c r="O2" s="9" t="n">
        <v>59</v>
      </c>
      <c r="P2" s="9" t="inlineStr">
        <is>
          <t>VKA</t>
        </is>
      </c>
      <c r="Q2" s="9" t="n">
        <v>0</v>
      </c>
      <c r="R2" s="9" t="n">
        <v>61</v>
      </c>
      <c r="S2" s="9" t="inlineStr">
        <is>
          <t>median ~18 months (trial stopped early)</t>
        </is>
      </c>
      <c r="T2" s="9" t="inlineStr">
        <is>
          <t>RCT</t>
        </is>
      </c>
      <c r="U2" s="9" t="inlineStr">
        <is>
          <t>Some concerns</t>
        </is>
      </c>
      <c r="V2" s="9" t="inlineStr">
        <is>
          <t>Pengo V, et al. Rivaroxaban vs. warfarin in high-risk patients with antiphospholipid syndrome (TRAPS trial). Blood. 2018.</t>
        </is>
      </c>
      <c r="W2" s="9" t="inlineStr">
        <is>
          <t>ILLUSTRATIVE EXAMPLE ONLY — numbers are placeholders shaped like a stopped-early trial, not the real reported estimate; replace with the true figures once the full text is reviewed. Shows how 'Cancer excluded by design' should be used: TRAPS very likely excluded active malignancy, which is exactly the fact that limits Tier 2 in Section 2.7 of the manuscript.</t>
        </is>
      </c>
      <c r="X2">
        <f>IF(AND(A2&lt;&gt;"Y",B2&lt;&gt;""),B2,"")</f>
        <v/>
      </c>
    </row>
    <row r="3">
      <c r="A3" s="10" t="n"/>
      <c r="B3" s="10" t="n"/>
      <c r="C3" s="10" t="n"/>
      <c r="D3" s="10" t="n"/>
      <c r="E3" s="10" t="n"/>
      <c r="F3" s="10" t="n"/>
      <c r="G3" s="10" t="n"/>
      <c r="H3" s="10" t="n"/>
      <c r="I3" s="10" t="n"/>
      <c r="J3" s="10" t="n"/>
      <c r="K3" s="10" t="n"/>
      <c r="L3" s="10" t="n"/>
      <c r="M3" s="10" t="n"/>
      <c r="N3" s="10" t="n"/>
      <c r="O3" s="10" t="n"/>
      <c r="P3" s="10" t="n"/>
      <c r="Q3" s="10" t="n"/>
      <c r="R3" s="10" t="n"/>
      <c r="S3" s="10" t="n"/>
      <c r="T3" s="10" t="n"/>
      <c r="U3" s="10" t="n"/>
      <c r="V3" s="10" t="n"/>
      <c r="W3" s="10" t="n"/>
      <c r="X3">
        <f>IF(AND(A3&lt;&gt;"Y",B3&lt;&gt;""),B3,"")</f>
        <v/>
      </c>
    </row>
    <row r="4">
      <c r="A4" s="10" t="n"/>
      <c r="B4" s="10" t="n"/>
      <c r="C4" s="10" t="n"/>
      <c r="D4" s="10" t="n"/>
      <c r="E4" s="10" t="n"/>
      <c r="F4" s="10" t="n"/>
      <c r="G4" s="10" t="n"/>
      <c r="H4" s="10" t="n"/>
      <c r="I4" s="10" t="n"/>
      <c r="J4" s="10" t="n"/>
      <c r="K4" s="10" t="n"/>
      <c r="L4" s="10" t="n"/>
      <c r="M4" s="10" t="n"/>
      <c r="N4" s="10" t="n"/>
      <c r="O4" s="10" t="n"/>
      <c r="P4" s="10" t="n"/>
      <c r="Q4" s="10" t="n"/>
      <c r="R4" s="10" t="n"/>
      <c r="S4" s="10" t="n"/>
      <c r="T4" s="10" t="n"/>
      <c r="U4" s="10" t="n"/>
      <c r="V4" s="10" t="n"/>
      <c r="W4" s="10" t="n"/>
      <c r="X4">
        <f>IF(AND(A4&lt;&gt;"Y",B4&lt;&gt;""),B4,"")</f>
        <v/>
      </c>
    </row>
    <row r="5">
      <c r="A5" s="10" t="n"/>
      <c r="B5" s="10" t="n"/>
      <c r="C5" s="10" t="n"/>
      <c r="D5" s="10" t="n"/>
      <c r="E5" s="10" t="n"/>
      <c r="F5" s="10" t="n"/>
      <c r="G5" s="10" t="n"/>
      <c r="H5" s="10" t="n"/>
      <c r="I5" s="10" t="n"/>
      <c r="J5" s="10" t="n"/>
      <c r="K5" s="10" t="n"/>
      <c r="L5" s="10" t="n"/>
      <c r="M5" s="10" t="n"/>
      <c r="N5" s="10" t="n"/>
      <c r="O5" s="10" t="n"/>
      <c r="P5" s="10" t="n"/>
      <c r="Q5" s="10" t="n"/>
      <c r="R5" s="10" t="n"/>
      <c r="S5" s="10" t="n"/>
      <c r="T5" s="10" t="n"/>
      <c r="U5" s="10" t="n"/>
      <c r="V5" s="10" t="n"/>
      <c r="W5" s="10" t="n"/>
      <c r="X5">
        <f>IF(AND(A5&lt;&gt;"Y",B5&lt;&gt;""),B5,"")</f>
        <v/>
      </c>
    </row>
    <row r="6">
      <c r="A6" s="10" t="n"/>
      <c r="B6" s="10" t="n"/>
      <c r="C6" s="10" t="n"/>
      <c r="D6" s="10" t="n"/>
      <c r="E6" s="10" t="n"/>
      <c r="F6" s="10" t="n"/>
      <c r="G6" s="10" t="n"/>
      <c r="H6" s="10" t="n"/>
      <c r="I6" s="10" t="n"/>
      <c r="J6" s="10" t="n"/>
      <c r="K6" s="10" t="n"/>
      <c r="L6" s="10" t="n"/>
      <c r="M6" s="10" t="n"/>
      <c r="N6" s="10" t="n"/>
      <c r="O6" s="10" t="n"/>
      <c r="P6" s="10" t="n"/>
      <c r="Q6" s="10" t="n"/>
      <c r="R6" s="10" t="n"/>
      <c r="S6" s="10" t="n"/>
      <c r="T6" s="10" t="n"/>
      <c r="U6" s="10" t="n"/>
      <c r="V6" s="10" t="n"/>
      <c r="W6" s="10" t="n"/>
      <c r="X6">
        <f>IF(AND(A6&lt;&gt;"Y",B6&lt;&gt;""),B6,"")</f>
        <v/>
      </c>
    </row>
    <row r="7">
      <c r="A7" s="10" t="n"/>
      <c r="B7" s="10" t="n"/>
      <c r="C7" s="10" t="n"/>
      <c r="D7" s="10" t="n"/>
      <c r="E7" s="10" t="n"/>
      <c r="F7" s="10" t="n"/>
      <c r="G7" s="10" t="n"/>
      <c r="H7" s="10" t="n"/>
      <c r="I7" s="10" t="n"/>
      <c r="J7" s="10" t="n"/>
      <c r="K7" s="10" t="n"/>
      <c r="L7" s="10" t="n"/>
      <c r="M7" s="10" t="n"/>
      <c r="N7" s="10" t="n"/>
      <c r="O7" s="10" t="n"/>
      <c r="P7" s="10" t="n"/>
      <c r="Q7" s="10" t="n"/>
      <c r="R7" s="10" t="n"/>
      <c r="S7" s="10" t="n"/>
      <c r="T7" s="10" t="n"/>
      <c r="U7" s="10" t="n"/>
      <c r="V7" s="10" t="n"/>
      <c r="W7" s="10" t="n"/>
      <c r="X7">
        <f>IF(AND(A7&lt;&gt;"Y",B7&lt;&gt;""),B7,"")</f>
        <v/>
      </c>
    </row>
    <row r="8">
      <c r="A8" s="10" t="n"/>
      <c r="B8" s="10" t="n"/>
      <c r="C8" s="10" t="n"/>
      <c r="D8" s="10" t="n"/>
      <c r="E8" s="10" t="n"/>
      <c r="F8" s="10" t="n"/>
      <c r="G8" s="10" t="n"/>
      <c r="H8" s="10" t="n"/>
      <c r="I8" s="10" t="n"/>
      <c r="J8" s="10" t="n"/>
      <c r="K8" s="10" t="n"/>
      <c r="L8" s="10" t="n"/>
      <c r="M8" s="10" t="n"/>
      <c r="N8" s="10" t="n"/>
      <c r="O8" s="10" t="n"/>
      <c r="P8" s="10" t="n"/>
      <c r="Q8" s="10" t="n"/>
      <c r="R8" s="10" t="n"/>
      <c r="S8" s="10" t="n"/>
      <c r="T8" s="10" t="n"/>
      <c r="U8" s="10" t="n"/>
      <c r="V8" s="10" t="n"/>
      <c r="W8" s="10" t="n"/>
      <c r="X8">
        <f>IF(AND(A8&lt;&gt;"Y",B8&lt;&gt;""),B8,"")</f>
        <v/>
      </c>
    </row>
    <row r="9">
      <c r="A9" s="10" t="n"/>
      <c r="B9" s="10" t="n"/>
      <c r="C9" s="10" t="n"/>
      <c r="D9" s="10" t="n"/>
      <c r="E9" s="10" t="n"/>
      <c r="F9" s="10" t="n"/>
      <c r="G9" s="10" t="n"/>
      <c r="H9" s="10" t="n"/>
      <c r="I9" s="10" t="n"/>
      <c r="J9" s="10" t="n"/>
      <c r="K9" s="10" t="n"/>
      <c r="L9" s="10" t="n"/>
      <c r="M9" s="10" t="n"/>
      <c r="N9" s="10" t="n"/>
      <c r="O9" s="10" t="n"/>
      <c r="P9" s="10" t="n"/>
      <c r="Q9" s="10" t="n"/>
      <c r="R9" s="10" t="n"/>
      <c r="S9" s="10" t="n"/>
      <c r="T9" s="10" t="n"/>
      <c r="U9" s="10" t="n"/>
      <c r="V9" s="10" t="n"/>
      <c r="W9" s="10" t="n"/>
      <c r="X9">
        <f>IF(AND(A9&lt;&gt;"Y",B9&lt;&gt;""),B9,"")</f>
        <v/>
      </c>
    </row>
    <row r="10">
      <c r="A10" s="10" t="n"/>
      <c r="B10" s="10" t="n"/>
      <c r="C10" s="10" t="n"/>
      <c r="D10" s="10" t="n"/>
      <c r="E10" s="10" t="n"/>
      <c r="F10" s="10" t="n"/>
      <c r="G10" s="10" t="n"/>
      <c r="H10" s="10" t="n"/>
      <c r="I10" s="10" t="n"/>
      <c r="J10" s="10" t="n"/>
      <c r="K10" s="10" t="n"/>
      <c r="L10" s="10" t="n"/>
      <c r="M10" s="10" t="n"/>
      <c r="N10" s="10" t="n"/>
      <c r="O10" s="10" t="n"/>
      <c r="P10" s="10" t="n"/>
      <c r="Q10" s="10" t="n"/>
      <c r="R10" s="10" t="n"/>
      <c r="S10" s="10" t="n"/>
      <c r="T10" s="10" t="n"/>
      <c r="U10" s="10" t="n"/>
      <c r="V10" s="10" t="n"/>
      <c r="W10" s="10" t="n"/>
      <c r="X10">
        <f>IF(AND(A10&lt;&gt;"Y",B10&lt;&gt;""),B10,"")</f>
        <v/>
      </c>
    </row>
    <row r="11">
      <c r="A11" s="10" t="n"/>
      <c r="B11" s="10" t="n"/>
      <c r="C11" s="10" t="n"/>
      <c r="D11" s="10" t="n"/>
      <c r="E11" s="10" t="n"/>
      <c r="F11" s="10" t="n"/>
      <c r="G11" s="10" t="n"/>
      <c r="H11" s="10" t="n"/>
      <c r="I11" s="10" t="n"/>
      <c r="J11" s="10" t="n"/>
      <c r="K11" s="10" t="n"/>
      <c r="L11" s="10" t="n"/>
      <c r="M11" s="10" t="n"/>
      <c r="N11" s="10" t="n"/>
      <c r="O11" s="10" t="n"/>
      <c r="P11" s="10" t="n"/>
      <c r="Q11" s="10" t="n"/>
      <c r="R11" s="10" t="n"/>
      <c r="S11" s="10" t="n"/>
      <c r="T11" s="10" t="n"/>
      <c r="U11" s="10" t="n"/>
      <c r="V11" s="10" t="n"/>
      <c r="W11" s="10" t="n"/>
      <c r="X11">
        <f>IF(AND(A11&lt;&gt;"Y",B11&lt;&gt;""),B11,"")</f>
        <v/>
      </c>
    </row>
    <row r="12">
      <c r="A12" s="10" t="n"/>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f>IF(AND(A12&lt;&gt;"Y",B12&lt;&gt;""),B12,"")</f>
        <v/>
      </c>
    </row>
    <row r="13">
      <c r="A13" s="10" t="n"/>
      <c r="B13" s="10" t="n"/>
      <c r="C13" s="10" t="n"/>
      <c r="D13" s="10" t="n"/>
      <c r="E13" s="10" t="n"/>
      <c r="F13" s="10" t="n"/>
      <c r="G13" s="10" t="n"/>
      <c r="H13" s="10" t="n"/>
      <c r="I13" s="10" t="n"/>
      <c r="J13" s="10" t="n"/>
      <c r="K13" s="10" t="n"/>
      <c r="L13" s="10" t="n"/>
      <c r="M13" s="10" t="n"/>
      <c r="N13" s="10" t="n"/>
      <c r="O13" s="10" t="n"/>
      <c r="P13" s="10" t="n"/>
      <c r="Q13" s="10" t="n"/>
      <c r="R13" s="10" t="n"/>
      <c r="S13" s="10" t="n"/>
      <c r="T13" s="10" t="n"/>
      <c r="U13" s="10" t="n"/>
      <c r="V13" s="10" t="n"/>
      <c r="W13" s="10" t="n"/>
      <c r="X13">
        <f>IF(AND(A13&lt;&gt;"Y",B13&lt;&gt;""),B13,"")</f>
        <v/>
      </c>
    </row>
    <row r="14">
      <c r="A14" s="10" t="n"/>
      <c r="B14" s="10" t="n"/>
      <c r="C14" s="10" t="n"/>
      <c r="D14" s="10" t="n"/>
      <c r="E14" s="10" t="n"/>
      <c r="F14" s="10" t="n"/>
      <c r="G14" s="10" t="n"/>
      <c r="H14" s="10" t="n"/>
      <c r="I14" s="10" t="n"/>
      <c r="J14" s="10" t="n"/>
      <c r="K14" s="10" t="n"/>
      <c r="L14" s="10" t="n"/>
      <c r="M14" s="10" t="n"/>
      <c r="N14" s="10" t="n"/>
      <c r="O14" s="10" t="n"/>
      <c r="P14" s="10" t="n"/>
      <c r="Q14" s="10" t="n"/>
      <c r="R14" s="10" t="n"/>
      <c r="S14" s="10" t="n"/>
      <c r="T14" s="10" t="n"/>
      <c r="U14" s="10" t="n"/>
      <c r="V14" s="10" t="n"/>
      <c r="W14" s="10" t="n"/>
      <c r="X14">
        <f>IF(AND(A14&lt;&gt;"Y",B14&lt;&gt;""),B14,"")</f>
        <v/>
      </c>
    </row>
    <row r="15">
      <c r="A15" s="10" t="n"/>
      <c r="B15" s="10" t="n"/>
      <c r="C15" s="10" t="n"/>
      <c r="D15" s="10" t="n"/>
      <c r="E15" s="10" t="n"/>
      <c r="F15" s="10" t="n"/>
      <c r="G15" s="10" t="n"/>
      <c r="H15" s="10" t="n"/>
      <c r="I15" s="10" t="n"/>
      <c r="J15" s="10" t="n"/>
      <c r="K15" s="10" t="n"/>
      <c r="L15" s="10" t="n"/>
      <c r="M15" s="10" t="n"/>
      <c r="N15" s="10" t="n"/>
      <c r="O15" s="10" t="n"/>
      <c r="P15" s="10" t="n"/>
      <c r="Q15" s="10" t="n"/>
      <c r="R15" s="10" t="n"/>
      <c r="S15" s="10" t="n"/>
      <c r="T15" s="10" t="n"/>
      <c r="U15" s="10" t="n"/>
      <c r="V15" s="10" t="n"/>
      <c r="W15" s="10" t="n"/>
      <c r="X15">
        <f>IF(AND(A15&lt;&gt;"Y",B15&lt;&gt;""),B15,"")</f>
        <v/>
      </c>
    </row>
    <row r="16">
      <c r="A16" s="10" t="n"/>
      <c r="B16" s="10" t="n"/>
      <c r="C16" s="10" t="n"/>
      <c r="D16" s="10" t="n"/>
      <c r="E16" s="10" t="n"/>
      <c r="F16" s="10" t="n"/>
      <c r="G16" s="10" t="n"/>
      <c r="H16" s="10" t="n"/>
      <c r="I16" s="10" t="n"/>
      <c r="J16" s="10" t="n"/>
      <c r="K16" s="10" t="n"/>
      <c r="L16" s="10" t="n"/>
      <c r="M16" s="10" t="n"/>
      <c r="N16" s="10" t="n"/>
      <c r="O16" s="10" t="n"/>
      <c r="P16" s="10" t="n"/>
      <c r="Q16" s="10" t="n"/>
      <c r="R16" s="10" t="n"/>
      <c r="S16" s="10" t="n"/>
      <c r="T16" s="10" t="n"/>
      <c r="U16" s="10" t="n"/>
      <c r="V16" s="10" t="n"/>
      <c r="W16" s="10" t="n"/>
      <c r="X16">
        <f>IF(AND(A16&lt;&gt;"Y",B16&lt;&gt;""),B16,"")</f>
        <v/>
      </c>
    </row>
    <row r="17">
      <c r="A17" s="10" t="n"/>
      <c r="B17" s="10" t="n"/>
      <c r="C17" s="10" t="n"/>
      <c r="D17" s="10" t="n"/>
      <c r="E17" s="10" t="n"/>
      <c r="F17" s="10" t="n"/>
      <c r="G17" s="10" t="n"/>
      <c r="H17" s="10" t="n"/>
      <c r="I17" s="10" t="n"/>
      <c r="J17" s="10" t="n"/>
      <c r="K17" s="10" t="n"/>
      <c r="L17" s="10" t="n"/>
      <c r="M17" s="10" t="n"/>
      <c r="N17" s="10" t="n"/>
      <c r="O17" s="10" t="n"/>
      <c r="P17" s="10" t="n"/>
      <c r="Q17" s="10" t="n"/>
      <c r="R17" s="10" t="n"/>
      <c r="S17" s="10" t="n"/>
      <c r="T17" s="10" t="n"/>
      <c r="U17" s="10" t="n"/>
      <c r="V17" s="10" t="n"/>
      <c r="W17" s="10" t="n"/>
      <c r="X17">
        <f>IF(AND(A17&lt;&gt;"Y",B17&lt;&gt;""),B17,"")</f>
        <v/>
      </c>
    </row>
    <row r="18">
      <c r="A18" s="10" t="n"/>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f>IF(AND(A18&lt;&gt;"Y",B18&lt;&gt;""),B18,"")</f>
        <v/>
      </c>
    </row>
    <row r="19">
      <c r="A19" s="10" t="n"/>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f>IF(AND(A19&lt;&gt;"Y",B19&lt;&gt;""),B19,"")</f>
        <v/>
      </c>
    </row>
    <row r="20">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f>IF(AND(A20&lt;&gt;"Y",B20&lt;&gt;""),B20,"")</f>
        <v/>
      </c>
    </row>
    <row r="2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f>IF(AND(A21&lt;&gt;"Y",B21&lt;&gt;""),B21,"")</f>
        <v/>
      </c>
    </row>
    <row r="22">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f>IF(AND(A22&lt;&gt;"Y",B22&lt;&gt;""),B22,"")</f>
        <v/>
      </c>
    </row>
    <row r="23">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f>IF(AND(A23&lt;&gt;"Y",B23&lt;&gt;""),B23,"")</f>
        <v/>
      </c>
    </row>
    <row r="24">
      <c r="A24" s="10" t="n"/>
      <c r="B24" s="10" t="n"/>
      <c r="C24" s="10" t="n"/>
      <c r="D24" s="10" t="n"/>
      <c r="E24" s="10" t="n"/>
      <c r="F24" s="10" t="n"/>
      <c r="G24" s="10" t="n"/>
      <c r="H24" s="10" t="n"/>
      <c r="I24" s="10" t="n"/>
      <c r="J24" s="10" t="n"/>
      <c r="K24" s="10" t="n"/>
      <c r="L24" s="10" t="n"/>
      <c r="M24" s="10" t="n"/>
      <c r="N24" s="10" t="n"/>
      <c r="O24" s="10" t="n"/>
      <c r="P24" s="10" t="n"/>
      <c r="Q24" s="10" t="n"/>
      <c r="R24" s="10" t="n"/>
      <c r="S24" s="10" t="n"/>
      <c r="T24" s="10" t="n"/>
      <c r="U24" s="10" t="n"/>
      <c r="V24" s="10" t="n"/>
      <c r="W24" s="10" t="n"/>
      <c r="X24">
        <f>IF(AND(A24&lt;&gt;"Y",B24&lt;&gt;""),B24,"")</f>
        <v/>
      </c>
    </row>
    <row r="25">
      <c r="A25" s="10" t="n"/>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f>IF(AND(A25&lt;&gt;"Y",B25&lt;&gt;""),B25,"")</f>
        <v/>
      </c>
    </row>
    <row r="26">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f>IF(AND(A26&lt;&gt;"Y",B26&lt;&gt;""),B26,"")</f>
        <v/>
      </c>
    </row>
    <row r="27">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f>IF(AND(A27&lt;&gt;"Y",B27&lt;&gt;""),B27,"")</f>
        <v/>
      </c>
    </row>
    <row r="28">
      <c r="A28" s="10" t="n"/>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f>IF(AND(A28&lt;&gt;"Y",B28&lt;&gt;""),B28,"")</f>
        <v/>
      </c>
    </row>
    <row r="29">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f>IF(AND(A29&lt;&gt;"Y",B29&lt;&gt;""),B29,"")</f>
        <v/>
      </c>
    </row>
    <row r="30">
      <c r="A30" s="10" t="n"/>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f>IF(AND(A30&lt;&gt;"Y",B30&lt;&gt;""),B30,"")</f>
        <v/>
      </c>
    </row>
    <row r="31">
      <c r="A31" s="10" t="n"/>
      <c r="B31" s="10" t="n"/>
      <c r="C31" s="10" t="n"/>
      <c r="D31" s="10" t="n"/>
      <c r="E31" s="10" t="n"/>
      <c r="F31" s="10" t="n"/>
      <c r="G31" s="10" t="n"/>
      <c r="H31" s="10" t="n"/>
      <c r="I31" s="10" t="n"/>
      <c r="J31" s="10" t="n"/>
      <c r="K31" s="10" t="n"/>
      <c r="L31" s="10" t="n"/>
      <c r="M31" s="10" t="n"/>
      <c r="N31" s="10" t="n"/>
      <c r="O31" s="10" t="n"/>
      <c r="P31" s="10" t="n"/>
      <c r="Q31" s="10" t="n"/>
      <c r="R31" s="10" t="n"/>
      <c r="S31" s="10" t="n"/>
      <c r="T31" s="10" t="n"/>
      <c r="U31" s="10" t="n"/>
      <c r="V31" s="10" t="n"/>
      <c r="W31" s="10" t="n"/>
      <c r="X31">
        <f>IF(AND(A31&lt;&gt;"Y",B31&lt;&gt;""),B31,"")</f>
        <v/>
      </c>
    </row>
    <row r="32">
      <c r="A32" s="10" t="n"/>
      <c r="B32" s="10" t="n"/>
      <c r="C32" s="10" t="n"/>
      <c r="D32" s="10" t="n"/>
      <c r="E32" s="10" t="n"/>
      <c r="F32" s="10" t="n"/>
      <c r="G32" s="10" t="n"/>
      <c r="H32" s="10" t="n"/>
      <c r="I32" s="10" t="n"/>
      <c r="J32" s="10" t="n"/>
      <c r="K32" s="10" t="n"/>
      <c r="L32" s="10" t="n"/>
      <c r="M32" s="10" t="n"/>
      <c r="N32" s="10" t="n"/>
      <c r="O32" s="10" t="n"/>
      <c r="P32" s="10" t="n"/>
      <c r="Q32" s="10" t="n"/>
      <c r="R32" s="10" t="n"/>
      <c r="S32" s="10" t="n"/>
      <c r="T32" s="10" t="n"/>
      <c r="U32" s="10" t="n"/>
      <c r="V32" s="10" t="n"/>
      <c r="W32" s="10" t="n"/>
      <c r="X32">
        <f>IF(AND(A32&lt;&gt;"Y",B32&lt;&gt;""),B32,"")</f>
        <v/>
      </c>
    </row>
    <row r="33">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f>IF(AND(A33&lt;&gt;"Y",B33&lt;&gt;""),B33,"")</f>
        <v/>
      </c>
    </row>
    <row r="34">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f>IF(AND(A34&lt;&gt;"Y",B34&lt;&gt;""),B34,"")</f>
        <v/>
      </c>
    </row>
    <row r="35">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f>IF(AND(A35&lt;&gt;"Y",B35&lt;&gt;""),B35,"")</f>
        <v/>
      </c>
    </row>
    <row r="36">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f>IF(AND(A36&lt;&gt;"Y",B36&lt;&gt;""),B36,"")</f>
        <v/>
      </c>
    </row>
    <row r="37">
      <c r="A37" s="10" t="n"/>
      <c r="B37" s="10" t="n"/>
      <c r="C37" s="10" t="n"/>
      <c r="D37" s="10" t="n"/>
      <c r="E37" s="10" t="n"/>
      <c r="F37" s="10" t="n"/>
      <c r="G37" s="10" t="n"/>
      <c r="H37" s="10" t="n"/>
      <c r="I37" s="10" t="n"/>
      <c r="J37" s="10" t="n"/>
      <c r="K37" s="10" t="n"/>
      <c r="L37" s="10" t="n"/>
      <c r="M37" s="10" t="n"/>
      <c r="N37" s="10" t="n"/>
      <c r="O37" s="10" t="n"/>
      <c r="P37" s="10" t="n"/>
      <c r="Q37" s="10" t="n"/>
      <c r="R37" s="10" t="n"/>
      <c r="S37" s="10" t="n"/>
      <c r="T37" s="10" t="n"/>
      <c r="U37" s="10" t="n"/>
      <c r="V37" s="10" t="n"/>
      <c r="W37" s="10" t="n"/>
      <c r="X37">
        <f>IF(AND(A37&lt;&gt;"Y",B37&lt;&gt;""),B37,"")</f>
        <v/>
      </c>
    </row>
    <row r="38">
      <c r="A38" s="10" t="n"/>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f>IF(AND(A38&lt;&gt;"Y",B38&lt;&gt;""),B38,"")</f>
        <v/>
      </c>
    </row>
    <row r="39">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f>IF(AND(A39&lt;&gt;"Y",B39&lt;&gt;""),B39,"")</f>
        <v/>
      </c>
    </row>
    <row r="40">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f>IF(AND(A40&lt;&gt;"Y",B40&lt;&gt;""),B40,"")</f>
        <v/>
      </c>
    </row>
    <row r="41">
      <c r="A41" s="10" t="n"/>
      <c r="B41" s="10" t="n"/>
      <c r="C41" s="10" t="n"/>
      <c r="D41" s="10" t="n"/>
      <c r="E41" s="10" t="n"/>
      <c r="F41" s="10" t="n"/>
      <c r="G41" s="10" t="n"/>
      <c r="H41" s="10" t="n"/>
      <c r="I41" s="10" t="n"/>
      <c r="J41" s="10" t="n"/>
      <c r="K41" s="10" t="n"/>
      <c r="L41" s="10" t="n"/>
      <c r="M41" s="10" t="n"/>
      <c r="N41" s="10" t="n"/>
      <c r="O41" s="10" t="n"/>
      <c r="P41" s="10" t="n"/>
      <c r="Q41" s="10" t="n"/>
      <c r="R41" s="10" t="n"/>
      <c r="S41" s="10" t="n"/>
      <c r="T41" s="10" t="n"/>
      <c r="U41" s="10" t="n"/>
      <c r="V41" s="10" t="n"/>
      <c r="W41" s="10" t="n"/>
      <c r="X41">
        <f>IF(AND(A41&lt;&gt;"Y",B41&lt;&gt;""),B41,"")</f>
        <v/>
      </c>
    </row>
    <row r="42">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f>IF(AND(A42&lt;&gt;"Y",B42&lt;&gt;""),B42,"")</f>
        <v/>
      </c>
    </row>
    <row r="43">
      <c r="A43" s="10" t="n"/>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f>IF(AND(A43&lt;&gt;"Y",B43&lt;&gt;""),B43,"")</f>
        <v/>
      </c>
    </row>
    <row r="44">
      <c r="A44" s="10" t="n"/>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f>IF(AND(A44&lt;&gt;"Y",B44&lt;&gt;""),B44,"")</f>
        <v/>
      </c>
    </row>
    <row r="45">
      <c r="A45" s="10" t="n"/>
      <c r="B45" s="10"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f>IF(AND(A45&lt;&gt;"Y",B45&lt;&gt;""),B45,"")</f>
        <v/>
      </c>
    </row>
    <row r="46">
      <c r="A46" s="10" t="n"/>
      <c r="B46" s="10" t="n"/>
      <c r="C46" s="10" t="n"/>
      <c r="D46" s="10" t="n"/>
      <c r="E46" s="10" t="n"/>
      <c r="F46" s="10" t="n"/>
      <c r="G46" s="10" t="n"/>
      <c r="H46" s="10" t="n"/>
      <c r="I46" s="10" t="n"/>
      <c r="J46" s="10" t="n"/>
      <c r="K46" s="10" t="n"/>
      <c r="L46" s="10" t="n"/>
      <c r="M46" s="10" t="n"/>
      <c r="N46" s="10" t="n"/>
      <c r="O46" s="10" t="n"/>
      <c r="P46" s="10" t="n"/>
      <c r="Q46" s="10" t="n"/>
      <c r="R46" s="10" t="n"/>
      <c r="S46" s="10" t="n"/>
      <c r="T46" s="10" t="n"/>
      <c r="U46" s="10" t="n"/>
      <c r="V46" s="10" t="n"/>
      <c r="W46" s="10" t="n"/>
      <c r="X46">
        <f>IF(AND(A46&lt;&gt;"Y",B46&lt;&gt;""),B46,"")</f>
        <v/>
      </c>
    </row>
    <row r="47">
      <c r="A47" s="10" t="n"/>
      <c r="B47" s="10" t="n"/>
      <c r="C47" s="10" t="n"/>
      <c r="D47" s="10" t="n"/>
      <c r="E47" s="10" t="n"/>
      <c r="F47" s="10" t="n"/>
      <c r="G47" s="10" t="n"/>
      <c r="H47" s="10" t="n"/>
      <c r="I47" s="10" t="n"/>
      <c r="J47" s="10" t="n"/>
      <c r="K47" s="10" t="n"/>
      <c r="L47" s="10" t="n"/>
      <c r="M47" s="10" t="n"/>
      <c r="N47" s="10" t="n"/>
      <c r="O47" s="10" t="n"/>
      <c r="P47" s="10" t="n"/>
      <c r="Q47" s="10" t="n"/>
      <c r="R47" s="10" t="n"/>
      <c r="S47" s="10" t="n"/>
      <c r="T47" s="10" t="n"/>
      <c r="U47" s="10" t="n"/>
      <c r="V47" s="10" t="n"/>
      <c r="W47" s="10" t="n"/>
      <c r="X47">
        <f>IF(AND(A47&lt;&gt;"Y",B47&lt;&gt;""),B47,"")</f>
        <v/>
      </c>
    </row>
    <row r="48">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f>IF(AND(A48&lt;&gt;"Y",B48&lt;&gt;""),B48,"")</f>
        <v/>
      </c>
    </row>
    <row r="49">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f>IF(AND(A49&lt;&gt;"Y",B49&lt;&gt;""),B49,"")</f>
        <v/>
      </c>
    </row>
    <row r="50">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f>IF(AND(A50&lt;&gt;"Y",B50&lt;&gt;""),B50,"")</f>
        <v/>
      </c>
    </row>
    <row r="51">
      <c r="A51" s="10" t="n"/>
      <c r="B51" s="10" t="n"/>
      <c r="C51" s="10" t="n"/>
      <c r="D51" s="10" t="n"/>
      <c r="E51" s="10" t="n"/>
      <c r="F51" s="10" t="n"/>
      <c r="G51" s="10" t="n"/>
      <c r="H51" s="10" t="n"/>
      <c r="I51" s="10" t="n"/>
      <c r="J51" s="10" t="n"/>
      <c r="K51" s="10" t="n"/>
      <c r="L51" s="10" t="n"/>
      <c r="M51" s="10" t="n"/>
      <c r="N51" s="10" t="n"/>
      <c r="O51" s="10" t="n"/>
      <c r="P51" s="10" t="n"/>
      <c r="Q51" s="10" t="n"/>
      <c r="R51" s="10" t="n"/>
      <c r="S51" s="10" t="n"/>
      <c r="T51" s="10" t="n"/>
      <c r="U51" s="10" t="n"/>
      <c r="V51" s="10" t="n"/>
      <c r="W51" s="10" t="n"/>
      <c r="X51">
        <f>IF(AND(A51&lt;&gt;"Y",B51&lt;&gt;""),B51,"")</f>
        <v/>
      </c>
    </row>
    <row r="52">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f>IF(AND(A52&lt;&gt;"Y",B52&lt;&gt;""),B52,"")</f>
        <v/>
      </c>
    </row>
    <row r="53">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f>IF(AND(A53&lt;&gt;"Y",B53&lt;&gt;""),B53,"")</f>
        <v/>
      </c>
    </row>
    <row r="54">
      <c r="A54" s="10" t="n"/>
      <c r="B54" s="10" t="n"/>
      <c r="C54" s="10" t="n"/>
      <c r="D54" s="10" t="n"/>
      <c r="E54" s="10" t="n"/>
      <c r="F54" s="10" t="n"/>
      <c r="G54" s="10" t="n"/>
      <c r="H54" s="10" t="n"/>
      <c r="I54" s="10" t="n"/>
      <c r="J54" s="10" t="n"/>
      <c r="K54" s="10" t="n"/>
      <c r="L54" s="10" t="n"/>
      <c r="M54" s="10" t="n"/>
      <c r="N54" s="10" t="n"/>
      <c r="O54" s="10" t="n"/>
      <c r="P54" s="10" t="n"/>
      <c r="Q54" s="10" t="n"/>
      <c r="R54" s="10" t="n"/>
      <c r="S54" s="10" t="n"/>
      <c r="T54" s="10" t="n"/>
      <c r="U54" s="10" t="n"/>
      <c r="V54" s="10" t="n"/>
      <c r="W54" s="10" t="n"/>
      <c r="X54">
        <f>IF(AND(A54&lt;&gt;"Y",B54&lt;&gt;""),B54,"")</f>
        <v/>
      </c>
    </row>
    <row r="55">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f>IF(AND(A55&lt;&gt;"Y",B55&lt;&gt;""),B55,"")</f>
        <v/>
      </c>
    </row>
    <row r="56">
      <c r="A56" s="10" t="n"/>
      <c r="B56" s="10" t="n"/>
      <c r="C56" s="10" t="n"/>
      <c r="D56" s="10" t="n"/>
      <c r="E56" s="10" t="n"/>
      <c r="F56" s="10" t="n"/>
      <c r="G56" s="10" t="n"/>
      <c r="H56" s="10" t="n"/>
      <c r="I56" s="10" t="n"/>
      <c r="J56" s="10" t="n"/>
      <c r="K56" s="10" t="n"/>
      <c r="L56" s="10" t="n"/>
      <c r="M56" s="10" t="n"/>
      <c r="N56" s="10" t="n"/>
      <c r="O56" s="10" t="n"/>
      <c r="P56" s="10" t="n"/>
      <c r="Q56" s="10" t="n"/>
      <c r="R56" s="10" t="n"/>
      <c r="S56" s="10" t="n"/>
      <c r="T56" s="10" t="n"/>
      <c r="U56" s="10" t="n"/>
      <c r="V56" s="10" t="n"/>
      <c r="W56" s="10" t="n"/>
      <c r="X56">
        <f>IF(AND(A56&lt;&gt;"Y",B56&lt;&gt;""),B56,"")</f>
        <v/>
      </c>
    </row>
    <row r="57">
      <c r="A57" s="10" t="n"/>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f>IF(AND(A57&lt;&gt;"Y",B57&lt;&gt;""),B57,"")</f>
        <v/>
      </c>
    </row>
    <row r="58">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f>IF(AND(A58&lt;&gt;"Y",B58&lt;&gt;""),B58,"")</f>
        <v/>
      </c>
    </row>
    <row r="59">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f>IF(AND(A59&lt;&gt;"Y",B59&lt;&gt;""),B59,"")</f>
        <v/>
      </c>
    </row>
    <row r="60">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f>IF(AND(A60&lt;&gt;"Y",B60&lt;&gt;""),B60,"")</f>
        <v/>
      </c>
    </row>
    <row r="61">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f>IF(AND(A61&lt;&gt;"Y",B61&lt;&gt;""),B61,"")</f>
        <v/>
      </c>
    </row>
    <row r="62">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f>IF(AND(A62&lt;&gt;"Y",B62&lt;&gt;""),B62,"")</f>
        <v/>
      </c>
    </row>
    <row r="6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f>IF(AND(A63&lt;&gt;"Y",B63&lt;&gt;""),B63,"")</f>
        <v/>
      </c>
    </row>
    <row r="64">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f>IF(AND(A64&lt;&gt;"Y",B64&lt;&gt;""),B64,"")</f>
        <v/>
      </c>
    </row>
    <row r="65">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f>IF(AND(A65&lt;&gt;"Y",B65&lt;&gt;""),B65,"")</f>
        <v/>
      </c>
    </row>
    <row r="66">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f>IF(AND(A66&lt;&gt;"Y",B66&lt;&gt;""),B66,"")</f>
        <v/>
      </c>
    </row>
    <row r="67">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f>IF(AND(A67&lt;&gt;"Y",B67&lt;&gt;""),B67,"")</f>
        <v/>
      </c>
    </row>
    <row r="68">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f>IF(AND(A68&lt;&gt;"Y",B68&lt;&gt;""),B68,"")</f>
        <v/>
      </c>
    </row>
    <row r="69">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f>IF(AND(A69&lt;&gt;"Y",B69&lt;&gt;""),B69,"")</f>
        <v/>
      </c>
    </row>
    <row r="70">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f>IF(AND(A70&lt;&gt;"Y",B70&lt;&gt;""),B70,"")</f>
        <v/>
      </c>
    </row>
    <row r="71">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f>IF(AND(A71&lt;&gt;"Y",B71&lt;&gt;""),B71,"")</f>
        <v/>
      </c>
    </row>
    <row r="72">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f>IF(AND(A72&lt;&gt;"Y",B72&lt;&gt;""),B72,"")</f>
        <v/>
      </c>
    </row>
    <row r="7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f>IF(AND(A73&lt;&gt;"Y",B73&lt;&gt;""),B73,"")</f>
        <v/>
      </c>
    </row>
    <row r="74">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f>IF(AND(A74&lt;&gt;"Y",B74&lt;&gt;""),B74,"")</f>
        <v/>
      </c>
    </row>
    <row r="75">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f>IF(AND(A75&lt;&gt;"Y",B75&lt;&gt;""),B75,"")</f>
        <v/>
      </c>
    </row>
    <row r="76">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f>IF(AND(A76&lt;&gt;"Y",B76&lt;&gt;""),B76,"")</f>
        <v/>
      </c>
    </row>
    <row r="77">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f>IF(AND(A77&lt;&gt;"Y",B77&lt;&gt;""),B77,"")</f>
        <v/>
      </c>
    </row>
    <row r="78">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f>IF(AND(A78&lt;&gt;"Y",B78&lt;&gt;""),B78,"")</f>
        <v/>
      </c>
    </row>
    <row r="79">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f>IF(AND(A79&lt;&gt;"Y",B79&lt;&gt;""),B79,"")</f>
        <v/>
      </c>
    </row>
    <row r="80">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f>IF(AND(A80&lt;&gt;"Y",B80&lt;&gt;""),B80,"")</f>
        <v/>
      </c>
    </row>
    <row r="81">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f>IF(AND(A81&lt;&gt;"Y",B81&lt;&gt;""),B81,"")</f>
        <v/>
      </c>
    </row>
    <row r="82">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f>IF(AND(A82&lt;&gt;"Y",B82&lt;&gt;""),B82,"")</f>
        <v/>
      </c>
    </row>
    <row r="8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f>IF(AND(A83&lt;&gt;"Y",B83&lt;&gt;""),B83,"")</f>
        <v/>
      </c>
    </row>
    <row r="84">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f>IF(AND(A84&lt;&gt;"Y",B84&lt;&gt;""),B84,"")</f>
        <v/>
      </c>
    </row>
    <row r="85">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f>IF(AND(A85&lt;&gt;"Y",B85&lt;&gt;""),B85,"")</f>
        <v/>
      </c>
    </row>
    <row r="86">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f>IF(AND(A86&lt;&gt;"Y",B86&lt;&gt;""),B86,"")</f>
        <v/>
      </c>
    </row>
    <row r="87">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f>IF(AND(A87&lt;&gt;"Y",B87&lt;&gt;""),B87,"")</f>
        <v/>
      </c>
    </row>
    <row r="88">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f>IF(AND(A88&lt;&gt;"Y",B88&lt;&gt;""),B88,"")</f>
        <v/>
      </c>
    </row>
    <row r="89">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f>IF(AND(A89&lt;&gt;"Y",B89&lt;&gt;""),B89,"")</f>
        <v/>
      </c>
    </row>
    <row r="90">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f>IF(AND(A90&lt;&gt;"Y",B90&lt;&gt;""),B90,"")</f>
        <v/>
      </c>
    </row>
    <row r="9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f>IF(AND(A91&lt;&gt;"Y",B91&lt;&gt;""),B91,"")</f>
        <v/>
      </c>
    </row>
    <row r="92">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f>IF(AND(A92&lt;&gt;"Y",B92&lt;&gt;""),B92,"")</f>
        <v/>
      </c>
    </row>
    <row r="9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f>IF(AND(A93&lt;&gt;"Y",B93&lt;&gt;""),B93,"")</f>
        <v/>
      </c>
    </row>
    <row r="94">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f>IF(AND(A94&lt;&gt;"Y",B94&lt;&gt;""),B94,"")</f>
        <v/>
      </c>
    </row>
    <row r="95">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f>IF(AND(A95&lt;&gt;"Y",B95&lt;&gt;""),B95,"")</f>
        <v/>
      </c>
    </row>
    <row r="96">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f>IF(AND(A96&lt;&gt;"Y",B96&lt;&gt;""),B96,"")</f>
        <v/>
      </c>
    </row>
    <row r="97">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f>IF(AND(A97&lt;&gt;"Y",B97&lt;&gt;""),B97,"")</f>
        <v/>
      </c>
    </row>
    <row r="98">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f>IF(AND(A98&lt;&gt;"Y",B98&lt;&gt;""),B98,"")</f>
        <v/>
      </c>
    </row>
    <row r="99">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f>IF(AND(A99&lt;&gt;"Y",B99&lt;&gt;""),B99,"")</f>
        <v/>
      </c>
    </row>
    <row r="100">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f>IF(AND(A100&lt;&gt;"Y",B100&lt;&gt;""),B100,"")</f>
        <v/>
      </c>
    </row>
    <row r="101">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f>IF(AND(A101&lt;&gt;"Y",B101&lt;&gt;""),B101,"")</f>
        <v/>
      </c>
    </row>
    <row r="102">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f>IF(AND(A102&lt;&gt;"Y",B102&lt;&gt;""),B102,"")</f>
        <v/>
      </c>
    </row>
    <row r="103">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f>IF(AND(A103&lt;&gt;"Y",B103&lt;&gt;""),B103,"")</f>
        <v/>
      </c>
    </row>
    <row r="104">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f>IF(AND(A104&lt;&gt;"Y",B104&lt;&gt;""),B104,"")</f>
        <v/>
      </c>
    </row>
    <row r="105">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f>IF(AND(A105&lt;&gt;"Y",B105&lt;&gt;""),B105,"")</f>
        <v/>
      </c>
    </row>
    <row r="106">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f>IF(AND(A106&lt;&gt;"Y",B106&lt;&gt;""),B106,"")</f>
        <v/>
      </c>
    </row>
    <row r="107">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f>IF(AND(A107&lt;&gt;"Y",B107&lt;&gt;""),B107,"")</f>
        <v/>
      </c>
    </row>
    <row r="108">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f>IF(AND(A108&lt;&gt;"Y",B108&lt;&gt;""),B108,"")</f>
        <v/>
      </c>
    </row>
    <row r="109">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f>IF(AND(A109&lt;&gt;"Y",B109&lt;&gt;""),B109,"")</f>
        <v/>
      </c>
    </row>
    <row r="110">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f>IF(AND(A110&lt;&gt;"Y",B110&lt;&gt;""),B110,"")</f>
        <v/>
      </c>
    </row>
    <row r="111">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f>IF(AND(A111&lt;&gt;"Y",B111&lt;&gt;""),B111,"")</f>
        <v/>
      </c>
    </row>
    <row r="112">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f>IF(AND(A112&lt;&gt;"Y",B112&lt;&gt;""),B112,"")</f>
        <v/>
      </c>
    </row>
    <row r="113">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f>IF(AND(A113&lt;&gt;"Y",B113&lt;&gt;""),B113,"")</f>
        <v/>
      </c>
    </row>
    <row r="114">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f>IF(AND(A114&lt;&gt;"Y",B114&lt;&gt;""),B114,"")</f>
        <v/>
      </c>
    </row>
    <row r="115">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f>IF(AND(A115&lt;&gt;"Y",B115&lt;&gt;""),B115,"")</f>
        <v/>
      </c>
    </row>
    <row r="116">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f>IF(AND(A116&lt;&gt;"Y",B116&lt;&gt;""),B116,"")</f>
        <v/>
      </c>
    </row>
    <row r="117">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f>IF(AND(A117&lt;&gt;"Y",B117&lt;&gt;""),B117,"")</f>
        <v/>
      </c>
    </row>
    <row r="118">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f>IF(AND(A118&lt;&gt;"Y",B118&lt;&gt;""),B118,"")</f>
        <v/>
      </c>
    </row>
    <row r="119">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f>IF(AND(A119&lt;&gt;"Y",B119&lt;&gt;""),B119,"")</f>
        <v/>
      </c>
    </row>
    <row r="120">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f>IF(AND(A120&lt;&gt;"Y",B120&lt;&gt;""),B120,"")</f>
        <v/>
      </c>
    </row>
    <row r="12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f>IF(AND(A121&lt;&gt;"Y",B121&lt;&gt;""),B121,"")</f>
        <v/>
      </c>
    </row>
    <row r="122">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f>IF(AND(A122&lt;&gt;"Y",B122&lt;&gt;""),B122,"")</f>
        <v/>
      </c>
    </row>
    <row r="1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f>IF(AND(A123&lt;&gt;"Y",B123&lt;&gt;""),B123,"")</f>
        <v/>
      </c>
    </row>
    <row r="124">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f>IF(AND(A124&lt;&gt;"Y",B124&lt;&gt;""),B124,"")</f>
        <v/>
      </c>
    </row>
    <row r="125">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f>IF(AND(A125&lt;&gt;"Y",B125&lt;&gt;""),B125,"")</f>
        <v/>
      </c>
    </row>
    <row r="126">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f>IF(AND(A126&lt;&gt;"Y",B126&lt;&gt;""),B126,"")</f>
        <v/>
      </c>
    </row>
    <row r="127">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f>IF(AND(A127&lt;&gt;"Y",B127&lt;&gt;""),B127,"")</f>
        <v/>
      </c>
    </row>
    <row r="128">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f>IF(AND(A128&lt;&gt;"Y",B128&lt;&gt;""),B128,"")</f>
        <v/>
      </c>
    </row>
    <row r="129">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f>IF(AND(A129&lt;&gt;"Y",B129&lt;&gt;""),B129,"")</f>
        <v/>
      </c>
    </row>
    <row r="130">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f>IF(AND(A130&lt;&gt;"Y",B130&lt;&gt;""),B130,"")</f>
        <v/>
      </c>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f>IF(AND(A131&lt;&gt;"Y",B131&lt;&gt;""),B131,"")</f>
        <v/>
      </c>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f>IF(AND(A132&lt;&gt;"Y",B132&lt;&gt;""),B132,"")</f>
        <v/>
      </c>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f>IF(AND(A133&lt;&gt;"Y",B133&lt;&gt;""),B133,"")</f>
        <v/>
      </c>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f>IF(AND(A134&lt;&gt;"Y",B134&lt;&gt;""),B134,"")</f>
        <v/>
      </c>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f>IF(AND(A135&lt;&gt;"Y",B135&lt;&gt;""),B135,"")</f>
        <v/>
      </c>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f>IF(AND(A136&lt;&gt;"Y",B136&lt;&gt;""),B136,"")</f>
        <v/>
      </c>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f>IF(AND(A137&lt;&gt;"Y",B137&lt;&gt;""),B137,"")</f>
        <v/>
      </c>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f>IF(AND(A138&lt;&gt;"Y",B138&lt;&gt;""),B138,"")</f>
        <v/>
      </c>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f>IF(AND(A139&lt;&gt;"Y",B139&lt;&gt;""),B139,"")</f>
        <v/>
      </c>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f>IF(AND(A140&lt;&gt;"Y",B140&lt;&gt;""),B140,"")</f>
        <v/>
      </c>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f>IF(AND(A141&lt;&gt;"Y",B141&lt;&gt;""),B141,"")</f>
        <v/>
      </c>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f>IF(AND(A142&lt;&gt;"Y",B142&lt;&gt;""),B142,"")</f>
        <v/>
      </c>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f>IF(AND(A143&lt;&gt;"Y",B143&lt;&gt;""),B143,"")</f>
        <v/>
      </c>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f>IF(AND(A144&lt;&gt;"Y",B144&lt;&gt;""),B144,"")</f>
        <v/>
      </c>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f>IF(AND(A145&lt;&gt;"Y",B145&lt;&gt;""),B145,"")</f>
        <v/>
      </c>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f>IF(AND(A146&lt;&gt;"Y",B146&lt;&gt;""),B146,"")</f>
        <v/>
      </c>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f>IF(AND(A147&lt;&gt;"Y",B147&lt;&gt;""),B147,"")</f>
        <v/>
      </c>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f>IF(AND(A148&lt;&gt;"Y",B148&lt;&gt;""),B148,"")</f>
        <v/>
      </c>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f>IF(AND(A149&lt;&gt;"Y",B149&lt;&gt;""),B149,"")</f>
        <v/>
      </c>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f>IF(AND(A150&lt;&gt;"Y",B150&lt;&gt;""),B150,"")</f>
        <v/>
      </c>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f>IF(AND(A151&lt;&gt;"Y",B151&lt;&gt;""),B151,"")</f>
        <v/>
      </c>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f>IF(AND(A152&lt;&gt;"Y",B152&lt;&gt;""),B152,"")</f>
        <v/>
      </c>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f>IF(AND(A153&lt;&gt;"Y",B153&lt;&gt;""),B153,"")</f>
        <v/>
      </c>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f>IF(AND(A154&lt;&gt;"Y",B154&lt;&gt;""),B154,"")</f>
        <v/>
      </c>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f>IF(AND(A155&lt;&gt;"Y",B155&lt;&gt;""),B155,"")</f>
        <v/>
      </c>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f>IF(AND(A156&lt;&gt;"Y",B156&lt;&gt;""),B156,"")</f>
        <v/>
      </c>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f>IF(AND(A157&lt;&gt;"Y",B157&lt;&gt;""),B157,"")</f>
        <v/>
      </c>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f>IF(AND(A158&lt;&gt;"Y",B158&lt;&gt;""),B158,"")</f>
        <v/>
      </c>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f>IF(AND(A159&lt;&gt;"Y",B159&lt;&gt;""),B159,"")</f>
        <v/>
      </c>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f>IF(AND(A160&lt;&gt;"Y",B160&lt;&gt;""),B160,"")</f>
        <v/>
      </c>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f>IF(AND(A161&lt;&gt;"Y",B161&lt;&gt;""),B161,"")</f>
        <v/>
      </c>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f>IF(AND(A162&lt;&gt;"Y",B162&lt;&gt;""),B162,"")</f>
        <v/>
      </c>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f>IF(AND(A163&lt;&gt;"Y",B163&lt;&gt;""),B163,"")</f>
        <v/>
      </c>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f>IF(AND(A164&lt;&gt;"Y",B164&lt;&gt;""),B164,"")</f>
        <v/>
      </c>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f>IF(AND(A165&lt;&gt;"Y",B165&lt;&gt;""),B165,"")</f>
        <v/>
      </c>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f>IF(AND(A166&lt;&gt;"Y",B166&lt;&gt;""),B166,"")</f>
        <v/>
      </c>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f>IF(AND(A167&lt;&gt;"Y",B167&lt;&gt;""),B167,"")</f>
        <v/>
      </c>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f>IF(AND(A168&lt;&gt;"Y",B168&lt;&gt;""),B168,"")</f>
        <v/>
      </c>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f>IF(AND(A169&lt;&gt;"Y",B169&lt;&gt;""),B169,"")</f>
        <v/>
      </c>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f>IF(AND(A170&lt;&gt;"Y",B170&lt;&gt;""),B170,"")</f>
        <v/>
      </c>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f>IF(AND(A171&lt;&gt;"Y",B171&lt;&gt;""),B171,"")</f>
        <v/>
      </c>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f>IF(AND(A172&lt;&gt;"Y",B172&lt;&gt;""),B172,"")</f>
        <v/>
      </c>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f>IF(AND(A173&lt;&gt;"Y",B173&lt;&gt;""),B173,"")</f>
        <v/>
      </c>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f>IF(AND(A174&lt;&gt;"Y",B174&lt;&gt;""),B174,"")</f>
        <v/>
      </c>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f>IF(AND(A175&lt;&gt;"Y",B175&lt;&gt;""),B175,"")</f>
        <v/>
      </c>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f>IF(AND(A176&lt;&gt;"Y",B176&lt;&gt;""),B176,"")</f>
        <v/>
      </c>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f>IF(AND(A177&lt;&gt;"Y",B177&lt;&gt;""),B177,"")</f>
        <v/>
      </c>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f>IF(AND(A178&lt;&gt;"Y",B178&lt;&gt;""),B178,"")</f>
        <v/>
      </c>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f>IF(AND(A179&lt;&gt;"Y",B179&lt;&gt;""),B179,"")</f>
        <v/>
      </c>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f>IF(AND(A180&lt;&gt;"Y",B180&lt;&gt;""),B180,"")</f>
        <v/>
      </c>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f>IF(AND(A181&lt;&gt;"Y",B181&lt;&gt;""),B181,"")</f>
        <v/>
      </c>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f>IF(AND(A182&lt;&gt;"Y",B182&lt;&gt;""),B182,"")</f>
        <v/>
      </c>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f>IF(AND(A183&lt;&gt;"Y",B183&lt;&gt;""),B183,"")</f>
        <v/>
      </c>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f>IF(AND(A184&lt;&gt;"Y",B184&lt;&gt;""),B184,"")</f>
        <v/>
      </c>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f>IF(AND(A185&lt;&gt;"Y",B185&lt;&gt;""),B185,"")</f>
        <v/>
      </c>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f>IF(AND(A186&lt;&gt;"Y",B186&lt;&gt;""),B186,"")</f>
        <v/>
      </c>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f>IF(AND(A187&lt;&gt;"Y",B187&lt;&gt;""),B187,"")</f>
        <v/>
      </c>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f>IF(AND(A188&lt;&gt;"Y",B188&lt;&gt;""),B188,"")</f>
        <v/>
      </c>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f>IF(AND(A189&lt;&gt;"Y",B189&lt;&gt;""),B189,"")</f>
        <v/>
      </c>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f>IF(AND(A190&lt;&gt;"Y",B190&lt;&gt;""),B190,"")</f>
        <v/>
      </c>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f>IF(AND(A191&lt;&gt;"Y",B191&lt;&gt;""),B191,"")</f>
        <v/>
      </c>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f>IF(AND(A192&lt;&gt;"Y",B192&lt;&gt;""),B192,"")</f>
        <v/>
      </c>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f>IF(AND(A193&lt;&gt;"Y",B193&lt;&gt;""),B193,"")</f>
        <v/>
      </c>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f>IF(AND(A194&lt;&gt;"Y",B194&lt;&gt;""),B194,"")</f>
        <v/>
      </c>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f>IF(AND(A195&lt;&gt;"Y",B195&lt;&gt;""),B195,"")</f>
        <v/>
      </c>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f>IF(AND(A196&lt;&gt;"Y",B196&lt;&gt;""),B196,"")</f>
        <v/>
      </c>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f>IF(AND(A197&lt;&gt;"Y",B197&lt;&gt;""),B197,"")</f>
        <v/>
      </c>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f>IF(AND(A198&lt;&gt;"Y",B198&lt;&gt;""),B198,"")</f>
        <v/>
      </c>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f>IF(AND(A199&lt;&gt;"Y",B199&lt;&gt;""),B199,"")</f>
        <v/>
      </c>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f>IF(AND(A200&lt;&gt;"Y",B200&lt;&gt;""),B200,"")</f>
        <v/>
      </c>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f>IF(AND(A201&lt;&gt;"Y",B201&lt;&gt;""),B201,"")</f>
        <v/>
      </c>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f>IF(AND(A202&lt;&gt;"Y",B202&lt;&gt;""),B202,"")</f>
        <v/>
      </c>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f>IF(AND(A203&lt;&gt;"Y",B203&lt;&gt;""),B203,"")</f>
        <v/>
      </c>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f>IF(AND(A204&lt;&gt;"Y",B204&lt;&gt;""),B204,"")</f>
        <v/>
      </c>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f>IF(AND(A205&lt;&gt;"Y",B205&lt;&gt;""),B205,"")</f>
        <v/>
      </c>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f>IF(AND(A206&lt;&gt;"Y",B206&lt;&gt;""),B206,"")</f>
        <v/>
      </c>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f>IF(AND(A207&lt;&gt;"Y",B207&lt;&gt;""),B207,"")</f>
        <v/>
      </c>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f>IF(AND(A208&lt;&gt;"Y",B208&lt;&gt;""),B208,"")</f>
        <v/>
      </c>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f>IF(AND(A209&lt;&gt;"Y",B209&lt;&gt;""),B209,"")</f>
        <v/>
      </c>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f>IF(AND(A210&lt;&gt;"Y",B210&lt;&gt;""),B210,"")</f>
        <v/>
      </c>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f>IF(AND(A211&lt;&gt;"Y",B211&lt;&gt;""),B211,"")</f>
        <v/>
      </c>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f>IF(AND(A212&lt;&gt;"Y",B212&lt;&gt;""),B212,"")</f>
        <v/>
      </c>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f>IF(AND(A213&lt;&gt;"Y",B213&lt;&gt;""),B213,"")</f>
        <v/>
      </c>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f>IF(AND(A214&lt;&gt;"Y",B214&lt;&gt;""),B214,"")</f>
        <v/>
      </c>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f>IF(AND(A215&lt;&gt;"Y",B215&lt;&gt;""),B215,"")</f>
        <v/>
      </c>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f>IF(AND(A216&lt;&gt;"Y",B216&lt;&gt;""),B216,"")</f>
        <v/>
      </c>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f>IF(AND(A217&lt;&gt;"Y",B217&lt;&gt;""),B217,"")</f>
        <v/>
      </c>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f>IF(AND(A218&lt;&gt;"Y",B218&lt;&gt;""),B218,"")</f>
        <v/>
      </c>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f>IF(AND(A219&lt;&gt;"Y",B219&lt;&gt;""),B219,"")</f>
        <v/>
      </c>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f>IF(AND(A220&lt;&gt;"Y",B220&lt;&gt;""),B220,"")</f>
        <v/>
      </c>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f>IF(AND(A221&lt;&gt;"Y",B221&lt;&gt;""),B221,"")</f>
        <v/>
      </c>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f>IF(AND(A222&lt;&gt;"Y",B222&lt;&gt;""),B222,"")</f>
        <v/>
      </c>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f>IF(AND(A223&lt;&gt;"Y",B223&lt;&gt;""),B223,"")</f>
        <v/>
      </c>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f>IF(AND(A224&lt;&gt;"Y",B224&lt;&gt;""),B224,"")</f>
        <v/>
      </c>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f>IF(AND(A225&lt;&gt;"Y",B225&lt;&gt;""),B225,"")</f>
        <v/>
      </c>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f>IF(AND(A226&lt;&gt;"Y",B226&lt;&gt;""),B226,"")</f>
        <v/>
      </c>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f>IF(AND(A227&lt;&gt;"Y",B227&lt;&gt;""),B227,"")</f>
        <v/>
      </c>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f>IF(AND(A228&lt;&gt;"Y",B228&lt;&gt;""),B228,"")</f>
        <v/>
      </c>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f>IF(AND(A229&lt;&gt;"Y",B229&lt;&gt;""),B229,"")</f>
        <v/>
      </c>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f>IF(AND(A230&lt;&gt;"Y",B230&lt;&gt;""),B230,"")</f>
        <v/>
      </c>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f>IF(AND(A231&lt;&gt;"Y",B231&lt;&gt;""),B231,"")</f>
        <v/>
      </c>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f>IF(AND(A232&lt;&gt;"Y",B232&lt;&gt;""),B232,"")</f>
        <v/>
      </c>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f>IF(AND(A233&lt;&gt;"Y",B233&lt;&gt;""),B233,"")</f>
        <v/>
      </c>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f>IF(AND(A234&lt;&gt;"Y",B234&lt;&gt;""),B234,"")</f>
        <v/>
      </c>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f>IF(AND(A235&lt;&gt;"Y",B235&lt;&gt;""),B235,"")</f>
        <v/>
      </c>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f>IF(AND(A236&lt;&gt;"Y",B236&lt;&gt;""),B236,"")</f>
        <v/>
      </c>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f>IF(AND(A237&lt;&gt;"Y",B237&lt;&gt;""),B237,"")</f>
        <v/>
      </c>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f>IF(AND(A238&lt;&gt;"Y",B238&lt;&gt;""),B238,"")</f>
        <v/>
      </c>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f>IF(AND(A239&lt;&gt;"Y",B239&lt;&gt;""),B239,"")</f>
        <v/>
      </c>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f>IF(AND(A240&lt;&gt;"Y",B240&lt;&gt;""),B240,"")</f>
        <v/>
      </c>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f>IF(AND(A241&lt;&gt;"Y",B241&lt;&gt;""),B241,"")</f>
        <v/>
      </c>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f>IF(AND(A242&lt;&gt;"Y",B242&lt;&gt;""),B242,"")</f>
        <v/>
      </c>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f>IF(AND(A243&lt;&gt;"Y",B243&lt;&gt;""),B243,"")</f>
        <v/>
      </c>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f>IF(AND(A244&lt;&gt;"Y",B244&lt;&gt;""),B244,"")</f>
        <v/>
      </c>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f>IF(AND(A245&lt;&gt;"Y",B245&lt;&gt;""),B245,"")</f>
        <v/>
      </c>
    </row>
    <row r="246">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f>IF(AND(A246&lt;&gt;"Y",B246&lt;&gt;""),B246,"")</f>
        <v/>
      </c>
    </row>
    <row r="247">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f>IF(AND(A247&lt;&gt;"Y",B247&lt;&gt;""),B247,"")</f>
        <v/>
      </c>
    </row>
    <row r="248">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f>IF(AND(A248&lt;&gt;"Y",B248&lt;&gt;""),B248,"")</f>
        <v/>
      </c>
    </row>
    <row r="249">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f>IF(AND(A249&lt;&gt;"Y",B249&lt;&gt;""),B249,"")</f>
        <v/>
      </c>
    </row>
    <row r="250">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f>IF(AND(A250&lt;&gt;"Y",B250&lt;&gt;""),B250,"")</f>
        <v/>
      </c>
    </row>
    <row r="251">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f>IF(AND(A251&lt;&gt;"Y",B251&lt;&gt;""),B251,"")</f>
        <v/>
      </c>
    </row>
    <row r="252">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f>IF(AND(A252&lt;&gt;"Y",B252&lt;&gt;""),B252,"")</f>
        <v/>
      </c>
    </row>
    <row r="253">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f>IF(AND(A253&lt;&gt;"Y",B253&lt;&gt;""),B253,"")</f>
        <v/>
      </c>
    </row>
    <row r="254">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f>IF(AND(A254&lt;&gt;"Y",B254&lt;&gt;""),B254,"")</f>
        <v/>
      </c>
    </row>
    <row r="255">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f>IF(AND(A255&lt;&gt;"Y",B255&lt;&gt;""),B255,"")</f>
        <v/>
      </c>
    </row>
    <row r="256">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f>IF(AND(A256&lt;&gt;"Y",B256&lt;&gt;""),B256,"")</f>
        <v/>
      </c>
    </row>
    <row r="257">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f>IF(AND(A257&lt;&gt;"Y",B257&lt;&gt;""),B257,"")</f>
        <v/>
      </c>
    </row>
    <row r="258">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f>IF(AND(A258&lt;&gt;"Y",B258&lt;&gt;""),B258,"")</f>
        <v/>
      </c>
    </row>
    <row r="259">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f>IF(AND(A259&lt;&gt;"Y",B259&lt;&gt;""),B259,"")</f>
        <v/>
      </c>
    </row>
    <row r="260">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f>IF(AND(A260&lt;&gt;"Y",B260&lt;&gt;""),B260,"")</f>
        <v/>
      </c>
    </row>
    <row r="26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f>IF(AND(A261&lt;&gt;"Y",B261&lt;&gt;""),B261,"")</f>
        <v/>
      </c>
    </row>
    <row r="262">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f>IF(AND(A262&lt;&gt;"Y",B262&lt;&gt;""),B262,"")</f>
        <v/>
      </c>
    </row>
    <row r="263">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f>IF(AND(A263&lt;&gt;"Y",B263&lt;&gt;""),B263,"")</f>
        <v/>
      </c>
    </row>
    <row r="264">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f>IF(AND(A264&lt;&gt;"Y",B264&lt;&gt;""),B264,"")</f>
        <v/>
      </c>
    </row>
    <row r="265">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f>IF(AND(A265&lt;&gt;"Y",B265&lt;&gt;""),B265,"")</f>
        <v/>
      </c>
    </row>
    <row r="266">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f>IF(AND(A266&lt;&gt;"Y",B266&lt;&gt;""),B266,"")</f>
        <v/>
      </c>
    </row>
    <row r="267">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f>IF(AND(A267&lt;&gt;"Y",B267&lt;&gt;""),B267,"")</f>
        <v/>
      </c>
    </row>
    <row r="268">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f>IF(AND(A268&lt;&gt;"Y",B268&lt;&gt;""),B268,"")</f>
        <v/>
      </c>
    </row>
    <row r="269">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f>IF(AND(A269&lt;&gt;"Y",B269&lt;&gt;""),B269,"")</f>
        <v/>
      </c>
    </row>
    <row r="270">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f>IF(AND(A270&lt;&gt;"Y",B270&lt;&gt;""),B270,"")</f>
        <v/>
      </c>
    </row>
    <row r="271">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f>IF(AND(A271&lt;&gt;"Y",B271&lt;&gt;""),B271,"")</f>
        <v/>
      </c>
    </row>
    <row r="272">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f>IF(AND(A272&lt;&gt;"Y",B272&lt;&gt;""),B272,"")</f>
        <v/>
      </c>
    </row>
    <row r="273">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f>IF(AND(A273&lt;&gt;"Y",B273&lt;&gt;""),B273,"")</f>
        <v/>
      </c>
    </row>
    <row r="274">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f>IF(AND(A274&lt;&gt;"Y",B274&lt;&gt;""),B274,"")</f>
        <v/>
      </c>
    </row>
    <row r="275">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f>IF(AND(A275&lt;&gt;"Y",B275&lt;&gt;""),B275,"")</f>
        <v/>
      </c>
    </row>
    <row r="276">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f>IF(AND(A276&lt;&gt;"Y",B276&lt;&gt;""),B276,"")</f>
        <v/>
      </c>
    </row>
    <row r="277">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f>IF(AND(A277&lt;&gt;"Y",B277&lt;&gt;""),B277,"")</f>
        <v/>
      </c>
    </row>
    <row r="278">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f>IF(AND(A278&lt;&gt;"Y",B278&lt;&gt;""),B278,"")</f>
        <v/>
      </c>
    </row>
    <row r="279">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f>IF(AND(A279&lt;&gt;"Y",B279&lt;&gt;""),B279,"")</f>
        <v/>
      </c>
    </row>
    <row r="280">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f>IF(AND(A280&lt;&gt;"Y",B280&lt;&gt;""),B280,"")</f>
        <v/>
      </c>
    </row>
    <row r="281">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f>IF(AND(A281&lt;&gt;"Y",B281&lt;&gt;""),B281,"")</f>
        <v/>
      </c>
    </row>
    <row r="282">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f>IF(AND(A282&lt;&gt;"Y",B282&lt;&gt;""),B282,"")</f>
        <v/>
      </c>
    </row>
    <row r="283">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f>IF(AND(A283&lt;&gt;"Y",B283&lt;&gt;""),B283,"")</f>
        <v/>
      </c>
    </row>
    <row r="284">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f>IF(AND(A284&lt;&gt;"Y",B284&lt;&gt;""),B284,"")</f>
        <v/>
      </c>
    </row>
    <row r="285">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f>IF(AND(A285&lt;&gt;"Y",B285&lt;&gt;""),B285,"")</f>
        <v/>
      </c>
    </row>
    <row r="286">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f>IF(AND(A286&lt;&gt;"Y",B286&lt;&gt;""),B286,"")</f>
        <v/>
      </c>
    </row>
    <row r="287">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f>IF(AND(A287&lt;&gt;"Y",B287&lt;&gt;""),B287,"")</f>
        <v/>
      </c>
    </row>
    <row r="288">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f>IF(AND(A288&lt;&gt;"Y",B288&lt;&gt;""),B288,"")</f>
        <v/>
      </c>
    </row>
    <row r="289">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f>IF(AND(A289&lt;&gt;"Y",B289&lt;&gt;""),B289,"")</f>
        <v/>
      </c>
    </row>
    <row r="290">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f>IF(AND(A290&lt;&gt;"Y",B290&lt;&gt;""),B290,"")</f>
        <v/>
      </c>
    </row>
    <row r="29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f>IF(AND(A291&lt;&gt;"Y",B291&lt;&gt;""),B291,"")</f>
        <v/>
      </c>
    </row>
    <row r="292">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f>IF(AND(A292&lt;&gt;"Y",B292&lt;&gt;""),B292,"")</f>
        <v/>
      </c>
    </row>
    <row r="293">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f>IF(AND(A293&lt;&gt;"Y",B293&lt;&gt;""),B293,"")</f>
        <v/>
      </c>
    </row>
    <row r="294">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f>IF(AND(A294&lt;&gt;"Y",B294&lt;&gt;""),B294,"")</f>
        <v/>
      </c>
    </row>
    <row r="295">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f>IF(AND(A295&lt;&gt;"Y",B295&lt;&gt;""),B295,"")</f>
        <v/>
      </c>
    </row>
    <row r="296">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f>IF(AND(A296&lt;&gt;"Y",B296&lt;&gt;""),B296,"")</f>
        <v/>
      </c>
    </row>
    <row r="297">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f>IF(AND(A297&lt;&gt;"Y",B297&lt;&gt;""),B297,"")</f>
        <v/>
      </c>
    </row>
    <row r="298">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f>IF(AND(A298&lt;&gt;"Y",B298&lt;&gt;""),B298,"")</f>
        <v/>
      </c>
    </row>
    <row r="299">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f>IF(AND(A299&lt;&gt;"Y",B299&lt;&gt;""),B299,"")</f>
        <v/>
      </c>
    </row>
    <row r="300">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f>IF(AND(A300&lt;&gt;"Y",B300&lt;&gt;""),B300,"")</f>
        <v/>
      </c>
    </row>
    <row r="301">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f>IF(AND(A301&lt;&gt;"Y",B301&lt;&gt;""),B301,"")</f>
        <v/>
      </c>
    </row>
    <row r="302">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f>IF(AND(A302&lt;&gt;"Y",B302&lt;&gt;""),B302,"")</f>
        <v/>
      </c>
    </row>
    <row r="303">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f>IF(AND(A303&lt;&gt;"Y",B303&lt;&gt;""),B303,"")</f>
        <v/>
      </c>
    </row>
    <row r="304">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f>IF(AND(A304&lt;&gt;"Y",B304&lt;&gt;""),B304,"")</f>
        <v/>
      </c>
    </row>
    <row r="305">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f>IF(AND(A305&lt;&gt;"Y",B305&lt;&gt;""),B305,"")</f>
        <v/>
      </c>
    </row>
    <row r="306">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f>IF(AND(A306&lt;&gt;"Y",B306&lt;&gt;""),B306,"")</f>
        <v/>
      </c>
    </row>
    <row r="307">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f>IF(AND(A307&lt;&gt;"Y",B307&lt;&gt;""),B307,"")</f>
        <v/>
      </c>
    </row>
    <row r="308">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f>IF(AND(A308&lt;&gt;"Y",B308&lt;&gt;""),B308,"")</f>
        <v/>
      </c>
    </row>
    <row r="309">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f>IF(AND(A309&lt;&gt;"Y",B309&lt;&gt;""),B309,"")</f>
        <v/>
      </c>
    </row>
    <row r="310">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f>IF(AND(A310&lt;&gt;"Y",B310&lt;&gt;""),B310,"")</f>
        <v/>
      </c>
    </row>
    <row r="311">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f>IF(AND(A311&lt;&gt;"Y",B311&lt;&gt;""),B311,"")</f>
        <v/>
      </c>
    </row>
    <row r="312">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f>IF(AND(A312&lt;&gt;"Y",B312&lt;&gt;""),B312,"")</f>
        <v/>
      </c>
    </row>
    <row r="313">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f>IF(AND(A313&lt;&gt;"Y",B313&lt;&gt;""),B313,"")</f>
        <v/>
      </c>
    </row>
    <row r="314">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f>IF(AND(A314&lt;&gt;"Y",B314&lt;&gt;""),B314,"")</f>
        <v/>
      </c>
    </row>
    <row r="315">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f>IF(AND(A315&lt;&gt;"Y",B315&lt;&gt;""),B315,"")</f>
        <v/>
      </c>
    </row>
    <row r="316">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f>IF(AND(A316&lt;&gt;"Y",B316&lt;&gt;""),B316,"")</f>
        <v/>
      </c>
    </row>
    <row r="317">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f>IF(AND(A317&lt;&gt;"Y",B317&lt;&gt;""),B317,"")</f>
        <v/>
      </c>
    </row>
    <row r="318">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f>IF(AND(A318&lt;&gt;"Y",B318&lt;&gt;""),B318,"")</f>
        <v/>
      </c>
    </row>
    <row r="319">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f>IF(AND(A319&lt;&gt;"Y",B319&lt;&gt;""),B319,"")</f>
        <v/>
      </c>
    </row>
    <row r="320">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f>IF(AND(A320&lt;&gt;"Y",B320&lt;&gt;""),B320,"")</f>
        <v/>
      </c>
    </row>
    <row r="321">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f>IF(AND(A321&lt;&gt;"Y",B321&lt;&gt;""),B321,"")</f>
        <v/>
      </c>
    </row>
    <row r="322">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f>IF(AND(A322&lt;&gt;"Y",B322&lt;&gt;""),B322,"")</f>
        <v/>
      </c>
    </row>
    <row r="323">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f>IF(AND(A323&lt;&gt;"Y",B323&lt;&gt;""),B323,"")</f>
        <v/>
      </c>
    </row>
    <row r="324">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f>IF(AND(A324&lt;&gt;"Y",B324&lt;&gt;""),B324,"")</f>
        <v/>
      </c>
    </row>
    <row r="325">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f>IF(AND(A325&lt;&gt;"Y",B325&lt;&gt;""),B325,"")</f>
        <v/>
      </c>
    </row>
    <row r="326">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f>IF(AND(A326&lt;&gt;"Y",B326&lt;&gt;""),B326,"")</f>
        <v/>
      </c>
    </row>
    <row r="327">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f>IF(AND(A327&lt;&gt;"Y",B327&lt;&gt;""),B327,"")</f>
        <v/>
      </c>
    </row>
    <row r="328">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f>IF(AND(A328&lt;&gt;"Y",B328&lt;&gt;""),B328,"")</f>
        <v/>
      </c>
    </row>
    <row r="329">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f>IF(AND(A329&lt;&gt;"Y",B329&lt;&gt;""),B329,"")</f>
        <v/>
      </c>
    </row>
    <row r="330">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f>IF(AND(A330&lt;&gt;"Y",B330&lt;&gt;""),B330,"")</f>
        <v/>
      </c>
    </row>
    <row r="331">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f>IF(AND(A331&lt;&gt;"Y",B331&lt;&gt;""),B331,"")</f>
        <v/>
      </c>
    </row>
    <row r="332">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f>IF(AND(A332&lt;&gt;"Y",B332&lt;&gt;""),B332,"")</f>
        <v/>
      </c>
    </row>
    <row r="333">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f>IF(AND(A333&lt;&gt;"Y",B333&lt;&gt;""),B333,"")</f>
        <v/>
      </c>
    </row>
    <row r="334">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f>IF(AND(A334&lt;&gt;"Y",B334&lt;&gt;""),B334,"")</f>
        <v/>
      </c>
    </row>
    <row r="335">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f>IF(AND(A335&lt;&gt;"Y",B335&lt;&gt;""),B335,"")</f>
        <v/>
      </c>
    </row>
    <row r="336">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f>IF(AND(A336&lt;&gt;"Y",B336&lt;&gt;""),B336,"")</f>
        <v/>
      </c>
    </row>
    <row r="337">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f>IF(AND(A337&lt;&gt;"Y",B337&lt;&gt;""),B337,"")</f>
        <v/>
      </c>
    </row>
    <row r="338">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f>IF(AND(A338&lt;&gt;"Y",B338&lt;&gt;""),B338,"")</f>
        <v/>
      </c>
    </row>
    <row r="339">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f>IF(AND(A339&lt;&gt;"Y",B339&lt;&gt;""),B339,"")</f>
        <v/>
      </c>
    </row>
    <row r="340">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f>IF(AND(A340&lt;&gt;"Y",B340&lt;&gt;""),B340,"")</f>
        <v/>
      </c>
    </row>
    <row r="34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f>IF(AND(A341&lt;&gt;"Y",B341&lt;&gt;""),B341,"")</f>
        <v/>
      </c>
    </row>
    <row r="342">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f>IF(AND(A342&lt;&gt;"Y",B342&lt;&gt;""),B342,"")</f>
        <v/>
      </c>
    </row>
    <row r="343">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f>IF(AND(A343&lt;&gt;"Y",B343&lt;&gt;""),B343,"")</f>
        <v/>
      </c>
    </row>
    <row r="344">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f>IF(AND(A344&lt;&gt;"Y",B344&lt;&gt;""),B344,"")</f>
        <v/>
      </c>
    </row>
    <row r="345">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f>IF(AND(A345&lt;&gt;"Y",B345&lt;&gt;""),B345,"")</f>
        <v/>
      </c>
    </row>
    <row r="346">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f>IF(AND(A346&lt;&gt;"Y",B346&lt;&gt;""),B346,"")</f>
        <v/>
      </c>
    </row>
    <row r="347">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f>IF(AND(A347&lt;&gt;"Y",B347&lt;&gt;""),B347,"")</f>
        <v/>
      </c>
    </row>
    <row r="348">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f>IF(AND(A348&lt;&gt;"Y",B348&lt;&gt;""),B348,"")</f>
        <v/>
      </c>
    </row>
    <row r="349">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f>IF(AND(A349&lt;&gt;"Y",B349&lt;&gt;""),B349,"")</f>
        <v/>
      </c>
    </row>
    <row r="350">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f>IF(AND(A350&lt;&gt;"Y",B350&lt;&gt;""),B350,"")</f>
        <v/>
      </c>
    </row>
    <row r="351">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f>IF(AND(A351&lt;&gt;"Y",B351&lt;&gt;""),B351,"")</f>
        <v/>
      </c>
    </row>
    <row r="352">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f>IF(AND(A352&lt;&gt;"Y",B352&lt;&gt;""),B352,"")</f>
        <v/>
      </c>
    </row>
    <row r="353">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f>IF(AND(A353&lt;&gt;"Y",B353&lt;&gt;""),B353,"")</f>
        <v/>
      </c>
    </row>
    <row r="354">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f>IF(AND(A354&lt;&gt;"Y",B354&lt;&gt;""),B354,"")</f>
        <v/>
      </c>
    </row>
    <row r="355">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f>IF(AND(A355&lt;&gt;"Y",B355&lt;&gt;""),B355,"")</f>
        <v/>
      </c>
    </row>
    <row r="356">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f>IF(AND(A356&lt;&gt;"Y",B356&lt;&gt;""),B356,"")</f>
        <v/>
      </c>
    </row>
    <row r="357">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f>IF(AND(A357&lt;&gt;"Y",B357&lt;&gt;""),B357,"")</f>
        <v/>
      </c>
    </row>
    <row r="358">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f>IF(AND(A358&lt;&gt;"Y",B358&lt;&gt;""),B358,"")</f>
        <v/>
      </c>
    </row>
    <row r="359">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f>IF(AND(A359&lt;&gt;"Y",B359&lt;&gt;""),B359,"")</f>
        <v/>
      </c>
    </row>
    <row r="360">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f>IF(AND(A360&lt;&gt;"Y",B360&lt;&gt;""),B360,"")</f>
        <v/>
      </c>
    </row>
    <row r="36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f>IF(AND(A361&lt;&gt;"Y",B361&lt;&gt;""),B361,"")</f>
        <v/>
      </c>
    </row>
    <row r="362">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f>IF(AND(A362&lt;&gt;"Y",B362&lt;&gt;""),B362,"")</f>
        <v/>
      </c>
    </row>
    <row r="363">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f>IF(AND(A363&lt;&gt;"Y",B363&lt;&gt;""),B363,"")</f>
        <v/>
      </c>
    </row>
    <row r="364">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f>IF(AND(A364&lt;&gt;"Y",B364&lt;&gt;""),B364,"")</f>
        <v/>
      </c>
    </row>
    <row r="365">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f>IF(AND(A365&lt;&gt;"Y",B365&lt;&gt;""),B365,"")</f>
        <v/>
      </c>
    </row>
    <row r="366">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f>IF(AND(A366&lt;&gt;"Y",B366&lt;&gt;""),B366,"")</f>
        <v/>
      </c>
    </row>
    <row r="367">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f>IF(AND(A367&lt;&gt;"Y",B367&lt;&gt;""),B367,"")</f>
        <v/>
      </c>
    </row>
    <row r="368">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f>IF(AND(A368&lt;&gt;"Y",B368&lt;&gt;""),B368,"")</f>
        <v/>
      </c>
    </row>
    <row r="369">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f>IF(AND(A369&lt;&gt;"Y",B369&lt;&gt;""),B369,"")</f>
        <v/>
      </c>
    </row>
    <row r="370">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f>IF(AND(A370&lt;&gt;"Y",B370&lt;&gt;""),B370,"")</f>
        <v/>
      </c>
    </row>
    <row r="37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f>IF(AND(A371&lt;&gt;"Y",B371&lt;&gt;""),B371,"")</f>
        <v/>
      </c>
    </row>
    <row r="372">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f>IF(AND(A372&lt;&gt;"Y",B372&lt;&gt;""),B372,"")</f>
        <v/>
      </c>
    </row>
    <row r="373">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f>IF(AND(A373&lt;&gt;"Y",B373&lt;&gt;""),B373,"")</f>
        <v/>
      </c>
    </row>
    <row r="374">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f>IF(AND(A374&lt;&gt;"Y",B374&lt;&gt;""),B374,"")</f>
        <v/>
      </c>
    </row>
    <row r="375">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f>IF(AND(A375&lt;&gt;"Y",B375&lt;&gt;""),B375,"")</f>
        <v/>
      </c>
    </row>
    <row r="376">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f>IF(AND(A376&lt;&gt;"Y",B376&lt;&gt;""),B376,"")</f>
        <v/>
      </c>
    </row>
    <row r="377">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f>IF(AND(A377&lt;&gt;"Y",B377&lt;&gt;""),B377,"")</f>
        <v/>
      </c>
    </row>
    <row r="378">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f>IF(AND(A378&lt;&gt;"Y",B378&lt;&gt;""),B378,"")</f>
        <v/>
      </c>
    </row>
    <row r="379">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f>IF(AND(A379&lt;&gt;"Y",B379&lt;&gt;""),B379,"")</f>
        <v/>
      </c>
    </row>
    <row r="380">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f>IF(AND(A380&lt;&gt;"Y",B380&lt;&gt;""),B380,"")</f>
        <v/>
      </c>
    </row>
    <row r="38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f>IF(AND(A381&lt;&gt;"Y",B381&lt;&gt;""),B381,"")</f>
        <v/>
      </c>
    </row>
    <row r="382">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f>IF(AND(A382&lt;&gt;"Y",B382&lt;&gt;""),B382,"")</f>
        <v/>
      </c>
    </row>
    <row r="383">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f>IF(AND(A383&lt;&gt;"Y",B383&lt;&gt;""),B383,"")</f>
        <v/>
      </c>
    </row>
    <row r="384">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f>IF(AND(A384&lt;&gt;"Y",B384&lt;&gt;""),B384,"")</f>
        <v/>
      </c>
    </row>
    <row r="385">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f>IF(AND(A385&lt;&gt;"Y",B385&lt;&gt;""),B385,"")</f>
        <v/>
      </c>
    </row>
    <row r="386">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f>IF(AND(A386&lt;&gt;"Y",B386&lt;&gt;""),B386,"")</f>
        <v/>
      </c>
    </row>
    <row r="387">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f>IF(AND(A387&lt;&gt;"Y",B387&lt;&gt;""),B387,"")</f>
        <v/>
      </c>
    </row>
    <row r="388">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f>IF(AND(A388&lt;&gt;"Y",B388&lt;&gt;""),B388,"")</f>
        <v/>
      </c>
    </row>
    <row r="389">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f>IF(AND(A389&lt;&gt;"Y",B389&lt;&gt;""),B389,"")</f>
        <v/>
      </c>
    </row>
    <row r="390">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f>IF(AND(A390&lt;&gt;"Y",B390&lt;&gt;""),B390,"")</f>
        <v/>
      </c>
    </row>
    <row r="391">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f>IF(AND(A391&lt;&gt;"Y",B391&lt;&gt;""),B391,"")</f>
        <v/>
      </c>
    </row>
    <row r="392">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f>IF(AND(A392&lt;&gt;"Y",B392&lt;&gt;""),B392,"")</f>
        <v/>
      </c>
    </row>
    <row r="393">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f>IF(AND(A393&lt;&gt;"Y",B393&lt;&gt;""),B393,"")</f>
        <v/>
      </c>
    </row>
    <row r="394">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f>IF(AND(A394&lt;&gt;"Y",B394&lt;&gt;""),B394,"")</f>
        <v/>
      </c>
    </row>
    <row r="395">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f>IF(AND(A395&lt;&gt;"Y",B395&lt;&gt;""),B395,"")</f>
        <v/>
      </c>
    </row>
    <row r="396">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f>IF(AND(A396&lt;&gt;"Y",B396&lt;&gt;""),B396,"")</f>
        <v/>
      </c>
    </row>
    <row r="397">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f>IF(AND(A397&lt;&gt;"Y",B397&lt;&gt;""),B397,"")</f>
        <v/>
      </c>
    </row>
    <row r="398">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f>IF(AND(A398&lt;&gt;"Y",B398&lt;&gt;""),B398,"")</f>
        <v/>
      </c>
    </row>
    <row r="399">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f>IF(AND(A399&lt;&gt;"Y",B399&lt;&gt;""),B399,"")</f>
        <v/>
      </c>
    </row>
    <row r="400">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f>IF(AND(A400&lt;&gt;"Y",B400&lt;&gt;""),B400,"")</f>
        <v/>
      </c>
    </row>
    <row r="401">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f>IF(AND(A401&lt;&gt;"Y",B401&lt;&gt;""),B401,"")</f>
        <v/>
      </c>
    </row>
    <row r="402">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f>IF(AND(A402&lt;&gt;"Y",B402&lt;&gt;""),B402,"")</f>
        <v/>
      </c>
    </row>
    <row r="403">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f>IF(AND(A403&lt;&gt;"Y",B403&lt;&gt;""),B403,"")</f>
        <v/>
      </c>
    </row>
    <row r="404">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f>IF(AND(A404&lt;&gt;"Y",B404&lt;&gt;""),B404,"")</f>
        <v/>
      </c>
    </row>
    <row r="405">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f>IF(AND(A405&lt;&gt;"Y",B405&lt;&gt;""),B405,"")</f>
        <v/>
      </c>
    </row>
    <row r="406">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f>IF(AND(A406&lt;&gt;"Y",B406&lt;&gt;""),B406,"")</f>
        <v/>
      </c>
    </row>
    <row r="407">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f>IF(AND(A407&lt;&gt;"Y",B407&lt;&gt;""),B407,"")</f>
        <v/>
      </c>
    </row>
    <row r="408">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f>IF(AND(A408&lt;&gt;"Y",B408&lt;&gt;""),B408,"")</f>
        <v/>
      </c>
    </row>
    <row r="409">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f>IF(AND(A409&lt;&gt;"Y",B409&lt;&gt;""),B409,"")</f>
        <v/>
      </c>
    </row>
    <row r="410">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f>IF(AND(A410&lt;&gt;"Y",B410&lt;&gt;""),B410,"")</f>
        <v/>
      </c>
    </row>
    <row r="411">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f>IF(AND(A411&lt;&gt;"Y",B411&lt;&gt;""),B411,"")</f>
        <v/>
      </c>
    </row>
    <row r="412">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f>IF(AND(A412&lt;&gt;"Y",B412&lt;&gt;""),B412,"")</f>
        <v/>
      </c>
    </row>
    <row r="413">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f>IF(AND(A413&lt;&gt;"Y",B413&lt;&gt;""),B413,"")</f>
        <v/>
      </c>
    </row>
    <row r="414">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f>IF(AND(A414&lt;&gt;"Y",B414&lt;&gt;""),B414,"")</f>
        <v/>
      </c>
    </row>
    <row r="415">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f>IF(AND(A415&lt;&gt;"Y",B415&lt;&gt;""),B415,"")</f>
        <v/>
      </c>
    </row>
    <row r="416">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f>IF(AND(A416&lt;&gt;"Y",B416&lt;&gt;""),B416,"")</f>
        <v/>
      </c>
    </row>
    <row r="417">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f>IF(AND(A417&lt;&gt;"Y",B417&lt;&gt;""),B417,"")</f>
        <v/>
      </c>
    </row>
    <row r="418">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f>IF(AND(A418&lt;&gt;"Y",B418&lt;&gt;""),B418,"")</f>
        <v/>
      </c>
    </row>
    <row r="419">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f>IF(AND(A419&lt;&gt;"Y",B419&lt;&gt;""),B419,"")</f>
        <v/>
      </c>
    </row>
    <row r="420">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f>IF(AND(A420&lt;&gt;"Y",B420&lt;&gt;""),B420,"")</f>
        <v/>
      </c>
    </row>
    <row r="42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f>IF(AND(A421&lt;&gt;"Y",B421&lt;&gt;""),B421,"")</f>
        <v/>
      </c>
    </row>
    <row r="422">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f>IF(AND(A422&lt;&gt;"Y",B422&lt;&gt;""),B422,"")</f>
        <v/>
      </c>
    </row>
    <row r="423">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f>IF(AND(A423&lt;&gt;"Y",B423&lt;&gt;""),B423,"")</f>
        <v/>
      </c>
    </row>
    <row r="424">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f>IF(AND(A424&lt;&gt;"Y",B424&lt;&gt;""),B424,"")</f>
        <v/>
      </c>
    </row>
    <row r="425">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f>IF(AND(A425&lt;&gt;"Y",B425&lt;&gt;""),B425,"")</f>
        <v/>
      </c>
    </row>
    <row r="426">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f>IF(AND(A426&lt;&gt;"Y",B426&lt;&gt;""),B426,"")</f>
        <v/>
      </c>
    </row>
    <row r="427">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f>IF(AND(A427&lt;&gt;"Y",B427&lt;&gt;""),B427,"")</f>
        <v/>
      </c>
    </row>
    <row r="428">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f>IF(AND(A428&lt;&gt;"Y",B428&lt;&gt;""),B428,"")</f>
        <v/>
      </c>
    </row>
    <row r="429">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f>IF(AND(A429&lt;&gt;"Y",B429&lt;&gt;""),B429,"")</f>
        <v/>
      </c>
    </row>
    <row r="430">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f>IF(AND(A430&lt;&gt;"Y",B430&lt;&gt;""),B430,"")</f>
        <v/>
      </c>
    </row>
    <row r="431">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f>IF(AND(A431&lt;&gt;"Y",B431&lt;&gt;""),B431,"")</f>
        <v/>
      </c>
    </row>
    <row r="432">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f>IF(AND(A432&lt;&gt;"Y",B432&lt;&gt;""),B432,"")</f>
        <v/>
      </c>
    </row>
    <row r="433">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f>IF(AND(A433&lt;&gt;"Y",B433&lt;&gt;""),B433,"")</f>
        <v/>
      </c>
    </row>
    <row r="434">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f>IF(AND(A434&lt;&gt;"Y",B434&lt;&gt;""),B434,"")</f>
        <v/>
      </c>
    </row>
    <row r="435">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f>IF(AND(A435&lt;&gt;"Y",B435&lt;&gt;""),B435,"")</f>
        <v/>
      </c>
    </row>
    <row r="436">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f>IF(AND(A436&lt;&gt;"Y",B436&lt;&gt;""),B436,"")</f>
        <v/>
      </c>
    </row>
    <row r="437">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f>IF(AND(A437&lt;&gt;"Y",B437&lt;&gt;""),B437,"")</f>
        <v/>
      </c>
    </row>
    <row r="438">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f>IF(AND(A438&lt;&gt;"Y",B438&lt;&gt;""),B438,"")</f>
        <v/>
      </c>
    </row>
    <row r="439">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f>IF(AND(A439&lt;&gt;"Y",B439&lt;&gt;""),B439,"")</f>
        <v/>
      </c>
    </row>
    <row r="440">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f>IF(AND(A440&lt;&gt;"Y",B440&lt;&gt;""),B440,"")</f>
        <v/>
      </c>
    </row>
    <row r="441">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f>IF(AND(A441&lt;&gt;"Y",B441&lt;&gt;""),B441,"")</f>
        <v/>
      </c>
    </row>
    <row r="442">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f>IF(AND(A442&lt;&gt;"Y",B442&lt;&gt;""),B442,"")</f>
        <v/>
      </c>
    </row>
    <row r="443">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f>IF(AND(A443&lt;&gt;"Y",B443&lt;&gt;""),B443,"")</f>
        <v/>
      </c>
    </row>
    <row r="444">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f>IF(AND(A444&lt;&gt;"Y",B444&lt;&gt;""),B444,"")</f>
        <v/>
      </c>
    </row>
    <row r="445">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f>IF(AND(A445&lt;&gt;"Y",B445&lt;&gt;""),B445,"")</f>
        <v/>
      </c>
    </row>
    <row r="446">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f>IF(AND(A446&lt;&gt;"Y",B446&lt;&gt;""),B446,"")</f>
        <v/>
      </c>
    </row>
    <row r="447">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f>IF(AND(A447&lt;&gt;"Y",B447&lt;&gt;""),B447,"")</f>
        <v/>
      </c>
    </row>
    <row r="448">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f>IF(AND(A448&lt;&gt;"Y",B448&lt;&gt;""),B448,"")</f>
        <v/>
      </c>
    </row>
    <row r="449">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f>IF(AND(A449&lt;&gt;"Y",B449&lt;&gt;""),B449,"")</f>
        <v/>
      </c>
    </row>
    <row r="450">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f>IF(AND(A450&lt;&gt;"Y",B450&lt;&gt;""),B450,"")</f>
        <v/>
      </c>
    </row>
    <row r="45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f>IF(AND(A451&lt;&gt;"Y",B451&lt;&gt;""),B451,"")</f>
        <v/>
      </c>
    </row>
    <row r="452">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f>IF(AND(A452&lt;&gt;"Y",B452&lt;&gt;""),B452,"")</f>
        <v/>
      </c>
    </row>
    <row r="453">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f>IF(AND(A453&lt;&gt;"Y",B453&lt;&gt;""),B453,"")</f>
        <v/>
      </c>
    </row>
    <row r="454">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f>IF(AND(A454&lt;&gt;"Y",B454&lt;&gt;""),B454,"")</f>
        <v/>
      </c>
    </row>
    <row r="455">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f>IF(AND(A455&lt;&gt;"Y",B455&lt;&gt;""),B455,"")</f>
        <v/>
      </c>
    </row>
    <row r="456">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f>IF(AND(A456&lt;&gt;"Y",B456&lt;&gt;""),B456,"")</f>
        <v/>
      </c>
    </row>
    <row r="457">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f>IF(AND(A457&lt;&gt;"Y",B457&lt;&gt;""),B457,"")</f>
        <v/>
      </c>
    </row>
    <row r="458">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f>IF(AND(A458&lt;&gt;"Y",B458&lt;&gt;""),B458,"")</f>
        <v/>
      </c>
    </row>
    <row r="459">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f>IF(AND(A459&lt;&gt;"Y",B459&lt;&gt;""),B459,"")</f>
        <v/>
      </c>
    </row>
    <row r="460">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f>IF(AND(A460&lt;&gt;"Y",B460&lt;&gt;""),B460,"")</f>
        <v/>
      </c>
    </row>
    <row r="46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f>IF(AND(A461&lt;&gt;"Y",B461&lt;&gt;""),B461,"")</f>
        <v/>
      </c>
    </row>
    <row r="462">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f>IF(AND(A462&lt;&gt;"Y",B462&lt;&gt;""),B462,"")</f>
        <v/>
      </c>
    </row>
    <row r="463">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f>IF(AND(A463&lt;&gt;"Y",B463&lt;&gt;""),B463,"")</f>
        <v/>
      </c>
    </row>
    <row r="464">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f>IF(AND(A464&lt;&gt;"Y",B464&lt;&gt;""),B464,"")</f>
        <v/>
      </c>
    </row>
    <row r="465">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f>IF(AND(A465&lt;&gt;"Y",B465&lt;&gt;""),B465,"")</f>
        <v/>
      </c>
    </row>
    <row r="466">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f>IF(AND(A466&lt;&gt;"Y",B466&lt;&gt;""),B466,"")</f>
        <v/>
      </c>
    </row>
    <row r="467">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f>IF(AND(A467&lt;&gt;"Y",B467&lt;&gt;""),B467,"")</f>
        <v/>
      </c>
    </row>
    <row r="468">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f>IF(AND(A468&lt;&gt;"Y",B468&lt;&gt;""),B468,"")</f>
        <v/>
      </c>
    </row>
    <row r="469">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f>IF(AND(A469&lt;&gt;"Y",B469&lt;&gt;""),B469,"")</f>
        <v/>
      </c>
    </row>
    <row r="470">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f>IF(AND(A470&lt;&gt;"Y",B470&lt;&gt;""),B470,"")</f>
        <v/>
      </c>
    </row>
    <row r="471">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f>IF(AND(A471&lt;&gt;"Y",B471&lt;&gt;""),B471,"")</f>
        <v/>
      </c>
    </row>
    <row r="472">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f>IF(AND(A472&lt;&gt;"Y",B472&lt;&gt;""),B472,"")</f>
        <v/>
      </c>
    </row>
    <row r="473">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f>IF(AND(A473&lt;&gt;"Y",B473&lt;&gt;""),B473,"")</f>
        <v/>
      </c>
    </row>
    <row r="474">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f>IF(AND(A474&lt;&gt;"Y",B474&lt;&gt;""),B474,"")</f>
        <v/>
      </c>
    </row>
    <row r="475">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f>IF(AND(A475&lt;&gt;"Y",B475&lt;&gt;""),B475,"")</f>
        <v/>
      </c>
    </row>
    <row r="476">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f>IF(AND(A476&lt;&gt;"Y",B476&lt;&gt;""),B476,"")</f>
        <v/>
      </c>
    </row>
    <row r="477">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f>IF(AND(A477&lt;&gt;"Y",B477&lt;&gt;""),B477,"")</f>
        <v/>
      </c>
    </row>
    <row r="478">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f>IF(AND(A478&lt;&gt;"Y",B478&lt;&gt;""),B478,"")</f>
        <v/>
      </c>
    </row>
    <row r="479">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f>IF(AND(A479&lt;&gt;"Y",B479&lt;&gt;""),B479,"")</f>
        <v/>
      </c>
    </row>
    <row r="480">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f>IF(AND(A480&lt;&gt;"Y",B480&lt;&gt;""),B480,"")</f>
        <v/>
      </c>
    </row>
    <row r="481">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f>IF(AND(A481&lt;&gt;"Y",B481&lt;&gt;""),B481,"")</f>
        <v/>
      </c>
    </row>
    <row r="482">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f>IF(AND(A482&lt;&gt;"Y",B482&lt;&gt;""),B482,"")</f>
        <v/>
      </c>
    </row>
    <row r="483">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f>IF(AND(A483&lt;&gt;"Y",B483&lt;&gt;""),B483,"")</f>
        <v/>
      </c>
    </row>
    <row r="484">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f>IF(AND(A484&lt;&gt;"Y",B484&lt;&gt;""),B484,"")</f>
        <v/>
      </c>
    </row>
    <row r="485">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f>IF(AND(A485&lt;&gt;"Y",B485&lt;&gt;""),B485,"")</f>
        <v/>
      </c>
    </row>
    <row r="486">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f>IF(AND(A486&lt;&gt;"Y",B486&lt;&gt;""),B486,"")</f>
        <v/>
      </c>
    </row>
    <row r="487">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f>IF(AND(A487&lt;&gt;"Y",B487&lt;&gt;""),B487,"")</f>
        <v/>
      </c>
    </row>
    <row r="488">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f>IF(AND(A488&lt;&gt;"Y",B488&lt;&gt;""),B488,"")</f>
        <v/>
      </c>
    </row>
    <row r="489">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f>IF(AND(A489&lt;&gt;"Y",B489&lt;&gt;""),B489,"")</f>
        <v/>
      </c>
    </row>
    <row r="490">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f>IF(AND(A490&lt;&gt;"Y",B490&lt;&gt;""),B490,"")</f>
        <v/>
      </c>
    </row>
    <row r="491">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f>IF(AND(A491&lt;&gt;"Y",B491&lt;&gt;""),B491,"")</f>
        <v/>
      </c>
    </row>
    <row r="492">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f>IF(AND(A492&lt;&gt;"Y",B492&lt;&gt;""),B492,"")</f>
        <v/>
      </c>
    </row>
    <row r="493">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f>IF(AND(A493&lt;&gt;"Y",B493&lt;&gt;""),B493,"")</f>
        <v/>
      </c>
    </row>
    <row r="494">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f>IF(AND(A494&lt;&gt;"Y",B494&lt;&gt;""),B494,"")</f>
        <v/>
      </c>
    </row>
    <row r="495">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f>IF(AND(A495&lt;&gt;"Y",B495&lt;&gt;""),B495,"")</f>
        <v/>
      </c>
    </row>
    <row r="496">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f>IF(AND(A496&lt;&gt;"Y",B496&lt;&gt;""),B496,"")</f>
        <v/>
      </c>
    </row>
    <row r="497">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f>IF(AND(A497&lt;&gt;"Y",B497&lt;&gt;""),B497,"")</f>
        <v/>
      </c>
    </row>
    <row r="498">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f>IF(AND(A498&lt;&gt;"Y",B498&lt;&gt;""),B498,"")</f>
        <v/>
      </c>
    </row>
    <row r="499">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f>IF(AND(A499&lt;&gt;"Y",B499&lt;&gt;""),B499,"")</f>
        <v/>
      </c>
    </row>
    <row r="500">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f>IF(AND(A500&lt;&gt;"Y",B500&lt;&gt;""),B500,"")</f>
        <v/>
      </c>
    </row>
    <row r="501">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f>IF(AND(A501&lt;&gt;"Y",B501&lt;&gt;""),B501,"")</f>
        <v/>
      </c>
    </row>
    <row r="502">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f>IF(AND(A502&lt;&gt;"Y",B502&lt;&gt;""),B502,"")</f>
        <v/>
      </c>
    </row>
    <row r="503">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f>IF(AND(A503&lt;&gt;"Y",B503&lt;&gt;""),B503,"")</f>
        <v/>
      </c>
    </row>
    <row r="504">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f>IF(AND(A504&lt;&gt;"Y",B504&lt;&gt;""),B504,"")</f>
        <v/>
      </c>
    </row>
    <row r="505">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f>IF(AND(A505&lt;&gt;"Y",B505&lt;&gt;""),B505,"")</f>
        <v/>
      </c>
    </row>
    <row r="506">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f>IF(AND(A506&lt;&gt;"Y",B506&lt;&gt;""),B506,"")</f>
        <v/>
      </c>
    </row>
    <row r="507">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f>IF(AND(A507&lt;&gt;"Y",B507&lt;&gt;""),B507,"")</f>
        <v/>
      </c>
    </row>
    <row r="508">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f>IF(AND(A508&lt;&gt;"Y",B508&lt;&gt;""),B508,"")</f>
        <v/>
      </c>
    </row>
    <row r="509">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f>IF(AND(A509&lt;&gt;"Y",B509&lt;&gt;""),B509,"")</f>
        <v/>
      </c>
    </row>
    <row r="510">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f>IF(AND(A510&lt;&gt;"Y",B510&lt;&gt;""),B510,"")</f>
        <v/>
      </c>
    </row>
    <row r="511">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f>IF(AND(A511&lt;&gt;"Y",B511&lt;&gt;""),B511,"")</f>
        <v/>
      </c>
    </row>
    <row r="512">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f>IF(AND(A512&lt;&gt;"Y",B512&lt;&gt;""),B512,"")</f>
        <v/>
      </c>
    </row>
    <row r="513">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f>IF(AND(A513&lt;&gt;"Y",B513&lt;&gt;""),B513,"")</f>
        <v/>
      </c>
    </row>
    <row r="514">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f>IF(AND(A514&lt;&gt;"Y",B514&lt;&gt;""),B514,"")</f>
        <v/>
      </c>
    </row>
    <row r="515">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f>IF(AND(A515&lt;&gt;"Y",B515&lt;&gt;""),B515,"")</f>
        <v/>
      </c>
    </row>
    <row r="516">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f>IF(AND(A516&lt;&gt;"Y",B516&lt;&gt;""),B516,"")</f>
        <v/>
      </c>
    </row>
    <row r="517">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f>IF(AND(A517&lt;&gt;"Y",B517&lt;&gt;""),B517,"")</f>
        <v/>
      </c>
    </row>
    <row r="518">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f>IF(AND(A518&lt;&gt;"Y",B518&lt;&gt;""),B518,"")</f>
        <v/>
      </c>
    </row>
    <row r="519">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f>IF(AND(A519&lt;&gt;"Y",B519&lt;&gt;""),B519,"")</f>
        <v/>
      </c>
    </row>
    <row r="520">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f>IF(AND(A520&lt;&gt;"Y",B520&lt;&gt;""),B520,"")</f>
        <v/>
      </c>
    </row>
    <row r="521">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f>IF(AND(A521&lt;&gt;"Y",B521&lt;&gt;""),B521,"")</f>
        <v/>
      </c>
    </row>
    <row r="522">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f>IF(AND(A522&lt;&gt;"Y",B522&lt;&gt;""),B522,"")</f>
        <v/>
      </c>
    </row>
    <row r="523">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f>IF(AND(A523&lt;&gt;"Y",B523&lt;&gt;""),B523,"")</f>
        <v/>
      </c>
    </row>
    <row r="524">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f>IF(AND(A524&lt;&gt;"Y",B524&lt;&gt;""),B524,"")</f>
        <v/>
      </c>
    </row>
    <row r="525">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f>IF(AND(A525&lt;&gt;"Y",B525&lt;&gt;""),B525,"")</f>
        <v/>
      </c>
    </row>
    <row r="526">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f>IF(AND(A526&lt;&gt;"Y",B526&lt;&gt;""),B526,"")</f>
        <v/>
      </c>
    </row>
    <row r="527">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f>IF(AND(A527&lt;&gt;"Y",B527&lt;&gt;""),B527,"")</f>
        <v/>
      </c>
    </row>
    <row r="528">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f>IF(AND(A528&lt;&gt;"Y",B528&lt;&gt;""),B528,"")</f>
        <v/>
      </c>
    </row>
    <row r="529">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f>IF(AND(A529&lt;&gt;"Y",B529&lt;&gt;""),B529,"")</f>
        <v/>
      </c>
    </row>
    <row r="530">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f>IF(AND(A530&lt;&gt;"Y",B530&lt;&gt;""),B530,"")</f>
        <v/>
      </c>
    </row>
    <row r="53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f>IF(AND(A531&lt;&gt;"Y",B531&lt;&gt;""),B531,"")</f>
        <v/>
      </c>
    </row>
    <row r="532">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f>IF(AND(A532&lt;&gt;"Y",B532&lt;&gt;""),B532,"")</f>
        <v/>
      </c>
    </row>
    <row r="533">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f>IF(AND(A533&lt;&gt;"Y",B533&lt;&gt;""),B533,"")</f>
        <v/>
      </c>
    </row>
    <row r="534">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f>IF(AND(A534&lt;&gt;"Y",B534&lt;&gt;""),B534,"")</f>
        <v/>
      </c>
    </row>
    <row r="535">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f>IF(AND(A535&lt;&gt;"Y",B535&lt;&gt;""),B535,"")</f>
        <v/>
      </c>
    </row>
    <row r="536">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f>IF(AND(A536&lt;&gt;"Y",B536&lt;&gt;""),B536,"")</f>
        <v/>
      </c>
    </row>
    <row r="537">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f>IF(AND(A537&lt;&gt;"Y",B537&lt;&gt;""),B537,"")</f>
        <v/>
      </c>
    </row>
    <row r="538">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f>IF(AND(A538&lt;&gt;"Y",B538&lt;&gt;""),B538,"")</f>
        <v/>
      </c>
    </row>
    <row r="539">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f>IF(AND(A539&lt;&gt;"Y",B539&lt;&gt;""),B539,"")</f>
        <v/>
      </c>
    </row>
    <row r="540">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f>IF(AND(A540&lt;&gt;"Y",B540&lt;&gt;""),B540,"")</f>
        <v/>
      </c>
    </row>
    <row r="541">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f>IF(AND(A541&lt;&gt;"Y",B541&lt;&gt;""),B541,"")</f>
        <v/>
      </c>
    </row>
    <row r="542">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f>IF(AND(A542&lt;&gt;"Y",B542&lt;&gt;""),B542,"")</f>
        <v/>
      </c>
    </row>
    <row r="543">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f>IF(AND(A543&lt;&gt;"Y",B543&lt;&gt;""),B543,"")</f>
        <v/>
      </c>
    </row>
    <row r="544">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f>IF(AND(A544&lt;&gt;"Y",B544&lt;&gt;""),B544,"")</f>
        <v/>
      </c>
    </row>
    <row r="545">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f>IF(AND(A545&lt;&gt;"Y",B545&lt;&gt;""),B545,"")</f>
        <v/>
      </c>
    </row>
    <row r="546">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f>IF(AND(A546&lt;&gt;"Y",B546&lt;&gt;""),B546,"")</f>
        <v/>
      </c>
    </row>
    <row r="547">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f>IF(AND(A547&lt;&gt;"Y",B547&lt;&gt;""),B547,"")</f>
        <v/>
      </c>
    </row>
    <row r="548">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f>IF(AND(A548&lt;&gt;"Y",B548&lt;&gt;""),B548,"")</f>
        <v/>
      </c>
    </row>
    <row r="549">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f>IF(AND(A549&lt;&gt;"Y",B549&lt;&gt;""),B549,"")</f>
        <v/>
      </c>
    </row>
    <row r="550">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f>IF(AND(A550&lt;&gt;"Y",B550&lt;&gt;""),B550,"")</f>
        <v/>
      </c>
    </row>
    <row r="551">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f>IF(AND(A551&lt;&gt;"Y",B551&lt;&gt;""),B551,"")</f>
        <v/>
      </c>
    </row>
    <row r="552">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f>IF(AND(A552&lt;&gt;"Y",B552&lt;&gt;""),B552,"")</f>
        <v/>
      </c>
    </row>
    <row r="553">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f>IF(AND(A553&lt;&gt;"Y",B553&lt;&gt;""),B553,"")</f>
        <v/>
      </c>
    </row>
    <row r="554">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f>IF(AND(A554&lt;&gt;"Y",B554&lt;&gt;""),B554,"")</f>
        <v/>
      </c>
    </row>
    <row r="555">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f>IF(AND(A555&lt;&gt;"Y",B555&lt;&gt;""),B555,"")</f>
        <v/>
      </c>
    </row>
    <row r="556">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f>IF(AND(A556&lt;&gt;"Y",B556&lt;&gt;""),B556,"")</f>
        <v/>
      </c>
    </row>
    <row r="557">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f>IF(AND(A557&lt;&gt;"Y",B557&lt;&gt;""),B557,"")</f>
        <v/>
      </c>
    </row>
    <row r="558">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f>IF(AND(A558&lt;&gt;"Y",B558&lt;&gt;""),B558,"")</f>
        <v/>
      </c>
    </row>
    <row r="559">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f>IF(AND(A559&lt;&gt;"Y",B559&lt;&gt;""),B559,"")</f>
        <v/>
      </c>
    </row>
    <row r="560">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f>IF(AND(A560&lt;&gt;"Y",B560&lt;&gt;""),B560,"")</f>
        <v/>
      </c>
    </row>
    <row r="561">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f>IF(AND(A561&lt;&gt;"Y",B561&lt;&gt;""),B561,"")</f>
        <v/>
      </c>
    </row>
    <row r="562">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f>IF(AND(A562&lt;&gt;"Y",B562&lt;&gt;""),B562,"")</f>
        <v/>
      </c>
    </row>
    <row r="563">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f>IF(AND(A563&lt;&gt;"Y",B563&lt;&gt;""),B563,"")</f>
        <v/>
      </c>
    </row>
    <row r="564">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f>IF(AND(A564&lt;&gt;"Y",B564&lt;&gt;""),B564,"")</f>
        <v/>
      </c>
    </row>
    <row r="565">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f>IF(AND(A565&lt;&gt;"Y",B565&lt;&gt;""),B565,"")</f>
        <v/>
      </c>
    </row>
    <row r="566">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f>IF(AND(A566&lt;&gt;"Y",B566&lt;&gt;""),B566,"")</f>
        <v/>
      </c>
    </row>
    <row r="567">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f>IF(AND(A567&lt;&gt;"Y",B567&lt;&gt;""),B567,"")</f>
        <v/>
      </c>
    </row>
    <row r="568">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f>IF(AND(A568&lt;&gt;"Y",B568&lt;&gt;""),B568,"")</f>
        <v/>
      </c>
    </row>
    <row r="569">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f>IF(AND(A569&lt;&gt;"Y",B569&lt;&gt;""),B569,"")</f>
        <v/>
      </c>
    </row>
    <row r="570">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f>IF(AND(A570&lt;&gt;"Y",B570&lt;&gt;""),B570,"")</f>
        <v/>
      </c>
    </row>
    <row r="571">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f>IF(AND(A571&lt;&gt;"Y",B571&lt;&gt;""),B571,"")</f>
        <v/>
      </c>
    </row>
    <row r="572">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f>IF(AND(A572&lt;&gt;"Y",B572&lt;&gt;""),B572,"")</f>
        <v/>
      </c>
    </row>
    <row r="573">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f>IF(AND(A573&lt;&gt;"Y",B573&lt;&gt;""),B573,"")</f>
        <v/>
      </c>
    </row>
    <row r="574">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f>IF(AND(A574&lt;&gt;"Y",B574&lt;&gt;""),B574,"")</f>
        <v/>
      </c>
    </row>
    <row r="575">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f>IF(AND(A575&lt;&gt;"Y",B575&lt;&gt;""),B575,"")</f>
        <v/>
      </c>
    </row>
    <row r="576">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f>IF(AND(A576&lt;&gt;"Y",B576&lt;&gt;""),B576,"")</f>
        <v/>
      </c>
    </row>
    <row r="577">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f>IF(AND(A577&lt;&gt;"Y",B577&lt;&gt;""),B577,"")</f>
        <v/>
      </c>
    </row>
    <row r="578">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f>IF(AND(A578&lt;&gt;"Y",B578&lt;&gt;""),B578,"")</f>
        <v/>
      </c>
    </row>
    <row r="579">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f>IF(AND(A579&lt;&gt;"Y",B579&lt;&gt;""),B579,"")</f>
        <v/>
      </c>
    </row>
    <row r="580">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f>IF(AND(A580&lt;&gt;"Y",B580&lt;&gt;""),B580,"")</f>
        <v/>
      </c>
    </row>
    <row r="581">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f>IF(AND(A581&lt;&gt;"Y",B581&lt;&gt;""),B581,"")</f>
        <v/>
      </c>
    </row>
    <row r="582">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f>IF(AND(A582&lt;&gt;"Y",B582&lt;&gt;""),B582,"")</f>
        <v/>
      </c>
    </row>
    <row r="583">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f>IF(AND(A583&lt;&gt;"Y",B583&lt;&gt;""),B583,"")</f>
        <v/>
      </c>
    </row>
    <row r="584">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f>IF(AND(A584&lt;&gt;"Y",B584&lt;&gt;""),B584,"")</f>
        <v/>
      </c>
    </row>
    <row r="585">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f>IF(AND(A585&lt;&gt;"Y",B585&lt;&gt;""),B585,"")</f>
        <v/>
      </c>
    </row>
    <row r="586">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f>IF(AND(A586&lt;&gt;"Y",B586&lt;&gt;""),B586,"")</f>
        <v/>
      </c>
    </row>
    <row r="587">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f>IF(AND(A587&lt;&gt;"Y",B587&lt;&gt;""),B587,"")</f>
        <v/>
      </c>
    </row>
    <row r="588">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f>IF(AND(A588&lt;&gt;"Y",B588&lt;&gt;""),B588,"")</f>
        <v/>
      </c>
    </row>
    <row r="589">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f>IF(AND(A589&lt;&gt;"Y",B589&lt;&gt;""),B589,"")</f>
        <v/>
      </c>
    </row>
    <row r="590">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f>IF(AND(A590&lt;&gt;"Y",B590&lt;&gt;""),B590,"")</f>
        <v/>
      </c>
    </row>
    <row r="591">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f>IF(AND(A591&lt;&gt;"Y",B591&lt;&gt;""),B591,"")</f>
        <v/>
      </c>
    </row>
    <row r="592">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f>IF(AND(A592&lt;&gt;"Y",B592&lt;&gt;""),B592,"")</f>
        <v/>
      </c>
    </row>
    <row r="593">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f>IF(AND(A593&lt;&gt;"Y",B593&lt;&gt;""),B593,"")</f>
        <v/>
      </c>
    </row>
    <row r="594">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f>IF(AND(A594&lt;&gt;"Y",B594&lt;&gt;""),B594,"")</f>
        <v/>
      </c>
    </row>
    <row r="595">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f>IF(AND(A595&lt;&gt;"Y",B595&lt;&gt;""),B595,"")</f>
        <v/>
      </c>
    </row>
    <row r="596">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f>IF(AND(A596&lt;&gt;"Y",B596&lt;&gt;""),B596,"")</f>
        <v/>
      </c>
    </row>
    <row r="597">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f>IF(AND(A597&lt;&gt;"Y",B597&lt;&gt;""),B597,"")</f>
        <v/>
      </c>
    </row>
    <row r="598">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f>IF(AND(A598&lt;&gt;"Y",B598&lt;&gt;""),B598,"")</f>
        <v/>
      </c>
    </row>
    <row r="599">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f>IF(AND(A599&lt;&gt;"Y",B599&lt;&gt;""),B599,"")</f>
        <v/>
      </c>
    </row>
    <row r="600">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f>IF(AND(A600&lt;&gt;"Y",B600&lt;&gt;""),B600,"")</f>
        <v/>
      </c>
    </row>
    <row r="601">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f>IF(AND(A601&lt;&gt;"Y",B601&lt;&gt;""),B601,"")</f>
        <v/>
      </c>
    </row>
    <row r="602">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f>IF(AND(A602&lt;&gt;"Y",B602&lt;&gt;""),B602,"")</f>
        <v/>
      </c>
    </row>
    <row r="603">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f>IF(AND(A603&lt;&gt;"Y",B603&lt;&gt;""),B603,"")</f>
        <v/>
      </c>
    </row>
    <row r="604">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f>IF(AND(A604&lt;&gt;"Y",B604&lt;&gt;""),B604,"")</f>
        <v/>
      </c>
    </row>
    <row r="605">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f>IF(AND(A605&lt;&gt;"Y",B605&lt;&gt;""),B605,"")</f>
        <v/>
      </c>
    </row>
    <row r="606">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f>IF(AND(A606&lt;&gt;"Y",B606&lt;&gt;""),B606,"")</f>
        <v/>
      </c>
    </row>
    <row r="607">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f>IF(AND(A607&lt;&gt;"Y",B607&lt;&gt;""),B607,"")</f>
        <v/>
      </c>
    </row>
    <row r="608">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f>IF(AND(A608&lt;&gt;"Y",B608&lt;&gt;""),B608,"")</f>
        <v/>
      </c>
    </row>
    <row r="609">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f>IF(AND(A609&lt;&gt;"Y",B609&lt;&gt;""),B609,"")</f>
        <v/>
      </c>
    </row>
    <row r="610">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f>IF(AND(A610&lt;&gt;"Y",B610&lt;&gt;""),B610,"")</f>
        <v/>
      </c>
    </row>
    <row r="611">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f>IF(AND(A611&lt;&gt;"Y",B611&lt;&gt;""),B611,"")</f>
        <v/>
      </c>
    </row>
    <row r="612">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f>IF(AND(A612&lt;&gt;"Y",B612&lt;&gt;""),B612,"")</f>
        <v/>
      </c>
    </row>
    <row r="613">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f>IF(AND(A613&lt;&gt;"Y",B613&lt;&gt;""),B613,"")</f>
        <v/>
      </c>
    </row>
    <row r="614">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f>IF(AND(A614&lt;&gt;"Y",B614&lt;&gt;""),B614,"")</f>
        <v/>
      </c>
    </row>
    <row r="615">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f>IF(AND(A615&lt;&gt;"Y",B615&lt;&gt;""),B615,"")</f>
        <v/>
      </c>
    </row>
    <row r="616">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f>IF(AND(A616&lt;&gt;"Y",B616&lt;&gt;""),B616,"")</f>
        <v/>
      </c>
    </row>
    <row r="617">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f>IF(AND(A617&lt;&gt;"Y",B617&lt;&gt;""),B617,"")</f>
        <v/>
      </c>
    </row>
    <row r="618">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f>IF(AND(A618&lt;&gt;"Y",B618&lt;&gt;""),B618,"")</f>
        <v/>
      </c>
    </row>
    <row r="619">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f>IF(AND(A619&lt;&gt;"Y",B619&lt;&gt;""),B619,"")</f>
        <v/>
      </c>
    </row>
    <row r="620">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f>IF(AND(A620&lt;&gt;"Y",B620&lt;&gt;""),B620,"")</f>
        <v/>
      </c>
    </row>
    <row r="621">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f>IF(AND(A621&lt;&gt;"Y",B621&lt;&gt;""),B621,"")</f>
        <v/>
      </c>
    </row>
    <row r="622">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f>IF(AND(A622&lt;&gt;"Y",B622&lt;&gt;""),B622,"")</f>
        <v/>
      </c>
    </row>
    <row r="623">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f>IF(AND(A623&lt;&gt;"Y",B623&lt;&gt;""),B623,"")</f>
        <v/>
      </c>
    </row>
    <row r="624">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f>IF(AND(A624&lt;&gt;"Y",B624&lt;&gt;""),B624,"")</f>
        <v/>
      </c>
    </row>
    <row r="625">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f>IF(AND(A625&lt;&gt;"Y",B625&lt;&gt;""),B625,"")</f>
        <v/>
      </c>
    </row>
    <row r="626">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f>IF(AND(A626&lt;&gt;"Y",B626&lt;&gt;""),B626,"")</f>
        <v/>
      </c>
    </row>
    <row r="627">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f>IF(AND(A627&lt;&gt;"Y",B627&lt;&gt;""),B627,"")</f>
        <v/>
      </c>
    </row>
    <row r="628">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f>IF(AND(A628&lt;&gt;"Y",B628&lt;&gt;""),B628,"")</f>
        <v/>
      </c>
    </row>
    <row r="629">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f>IF(AND(A629&lt;&gt;"Y",B629&lt;&gt;""),B629,"")</f>
        <v/>
      </c>
    </row>
    <row r="630">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f>IF(AND(A630&lt;&gt;"Y",B630&lt;&gt;""),B630,"")</f>
        <v/>
      </c>
    </row>
    <row r="631">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f>IF(AND(A631&lt;&gt;"Y",B631&lt;&gt;""),B631,"")</f>
        <v/>
      </c>
    </row>
    <row r="632">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f>IF(AND(A632&lt;&gt;"Y",B632&lt;&gt;""),B632,"")</f>
        <v/>
      </c>
    </row>
    <row r="633">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f>IF(AND(A633&lt;&gt;"Y",B633&lt;&gt;""),B633,"")</f>
        <v/>
      </c>
    </row>
    <row r="634">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f>IF(AND(A634&lt;&gt;"Y",B634&lt;&gt;""),B634,"")</f>
        <v/>
      </c>
    </row>
    <row r="635">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f>IF(AND(A635&lt;&gt;"Y",B635&lt;&gt;""),B635,"")</f>
        <v/>
      </c>
    </row>
    <row r="636">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f>IF(AND(A636&lt;&gt;"Y",B636&lt;&gt;""),B636,"")</f>
        <v/>
      </c>
    </row>
    <row r="637">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f>IF(AND(A637&lt;&gt;"Y",B637&lt;&gt;""),B637,"")</f>
        <v/>
      </c>
    </row>
    <row r="638">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f>IF(AND(A638&lt;&gt;"Y",B638&lt;&gt;""),B638,"")</f>
        <v/>
      </c>
    </row>
    <row r="639">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f>IF(AND(A639&lt;&gt;"Y",B639&lt;&gt;""),B639,"")</f>
        <v/>
      </c>
    </row>
    <row r="640">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f>IF(AND(A640&lt;&gt;"Y",B640&lt;&gt;""),B640,"")</f>
        <v/>
      </c>
    </row>
    <row r="641">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f>IF(AND(A641&lt;&gt;"Y",B641&lt;&gt;""),B641,"")</f>
        <v/>
      </c>
    </row>
    <row r="642">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f>IF(AND(A642&lt;&gt;"Y",B642&lt;&gt;""),B642,"")</f>
        <v/>
      </c>
    </row>
    <row r="643">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f>IF(AND(A643&lt;&gt;"Y",B643&lt;&gt;""),B643,"")</f>
        <v/>
      </c>
    </row>
    <row r="644">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f>IF(AND(A644&lt;&gt;"Y",B644&lt;&gt;""),B644,"")</f>
        <v/>
      </c>
    </row>
    <row r="645">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f>IF(AND(A645&lt;&gt;"Y",B645&lt;&gt;""),B645,"")</f>
        <v/>
      </c>
    </row>
    <row r="646">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f>IF(AND(A646&lt;&gt;"Y",B646&lt;&gt;""),B646,"")</f>
        <v/>
      </c>
    </row>
    <row r="647">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f>IF(AND(A647&lt;&gt;"Y",B647&lt;&gt;""),B647,"")</f>
        <v/>
      </c>
    </row>
    <row r="648">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f>IF(AND(A648&lt;&gt;"Y",B648&lt;&gt;""),B648,"")</f>
        <v/>
      </c>
    </row>
    <row r="649">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f>IF(AND(A649&lt;&gt;"Y",B649&lt;&gt;""),B649,"")</f>
        <v/>
      </c>
    </row>
    <row r="650">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f>IF(AND(A650&lt;&gt;"Y",B650&lt;&gt;""),B650,"")</f>
        <v/>
      </c>
    </row>
    <row r="651">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f>IF(AND(A651&lt;&gt;"Y",B651&lt;&gt;""),B651,"")</f>
        <v/>
      </c>
    </row>
    <row r="652">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f>IF(AND(A652&lt;&gt;"Y",B652&lt;&gt;""),B652,"")</f>
        <v/>
      </c>
    </row>
    <row r="653">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f>IF(AND(A653&lt;&gt;"Y",B653&lt;&gt;""),B653,"")</f>
        <v/>
      </c>
    </row>
    <row r="654">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f>IF(AND(A654&lt;&gt;"Y",B654&lt;&gt;""),B654,"")</f>
        <v/>
      </c>
    </row>
    <row r="655">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f>IF(AND(A655&lt;&gt;"Y",B655&lt;&gt;""),B655,"")</f>
        <v/>
      </c>
    </row>
    <row r="656">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f>IF(AND(A656&lt;&gt;"Y",B656&lt;&gt;""),B656,"")</f>
        <v/>
      </c>
    </row>
    <row r="657">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f>IF(AND(A657&lt;&gt;"Y",B657&lt;&gt;""),B657,"")</f>
        <v/>
      </c>
    </row>
    <row r="658">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f>IF(AND(A658&lt;&gt;"Y",B658&lt;&gt;""),B658,"")</f>
        <v/>
      </c>
    </row>
    <row r="659">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f>IF(AND(A659&lt;&gt;"Y",B659&lt;&gt;""),B659,"")</f>
        <v/>
      </c>
    </row>
    <row r="660">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f>IF(AND(A660&lt;&gt;"Y",B660&lt;&gt;""),B660,"")</f>
        <v/>
      </c>
    </row>
    <row r="661">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f>IF(AND(A661&lt;&gt;"Y",B661&lt;&gt;""),B661,"")</f>
        <v/>
      </c>
    </row>
    <row r="662">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f>IF(AND(A662&lt;&gt;"Y",B662&lt;&gt;""),B662,"")</f>
        <v/>
      </c>
    </row>
    <row r="663">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f>IF(AND(A663&lt;&gt;"Y",B663&lt;&gt;""),B663,"")</f>
        <v/>
      </c>
    </row>
    <row r="664">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f>IF(AND(A664&lt;&gt;"Y",B664&lt;&gt;""),B664,"")</f>
        <v/>
      </c>
    </row>
    <row r="665">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f>IF(AND(A665&lt;&gt;"Y",B665&lt;&gt;""),B665,"")</f>
        <v/>
      </c>
    </row>
    <row r="666">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f>IF(AND(A666&lt;&gt;"Y",B666&lt;&gt;""),B666,"")</f>
        <v/>
      </c>
    </row>
    <row r="667">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f>IF(AND(A667&lt;&gt;"Y",B667&lt;&gt;""),B667,"")</f>
        <v/>
      </c>
    </row>
    <row r="668">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f>IF(AND(A668&lt;&gt;"Y",B668&lt;&gt;""),B668,"")</f>
        <v/>
      </c>
    </row>
    <row r="669">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f>IF(AND(A669&lt;&gt;"Y",B669&lt;&gt;""),B669,"")</f>
        <v/>
      </c>
    </row>
    <row r="670">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f>IF(AND(A670&lt;&gt;"Y",B670&lt;&gt;""),B670,"")</f>
        <v/>
      </c>
    </row>
    <row r="671">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f>IF(AND(A671&lt;&gt;"Y",B671&lt;&gt;""),B671,"")</f>
        <v/>
      </c>
    </row>
    <row r="672">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f>IF(AND(A672&lt;&gt;"Y",B672&lt;&gt;""),B672,"")</f>
        <v/>
      </c>
    </row>
    <row r="673">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f>IF(AND(A673&lt;&gt;"Y",B673&lt;&gt;""),B673,"")</f>
        <v/>
      </c>
    </row>
    <row r="674">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f>IF(AND(A674&lt;&gt;"Y",B674&lt;&gt;""),B674,"")</f>
        <v/>
      </c>
    </row>
    <row r="675">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f>IF(AND(A675&lt;&gt;"Y",B675&lt;&gt;""),B675,"")</f>
        <v/>
      </c>
    </row>
    <row r="676">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f>IF(AND(A676&lt;&gt;"Y",B676&lt;&gt;""),B676,"")</f>
        <v/>
      </c>
    </row>
    <row r="677">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f>IF(AND(A677&lt;&gt;"Y",B677&lt;&gt;""),B677,"")</f>
        <v/>
      </c>
    </row>
    <row r="678">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f>IF(AND(A678&lt;&gt;"Y",B678&lt;&gt;""),B678,"")</f>
        <v/>
      </c>
    </row>
    <row r="679">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f>IF(AND(A679&lt;&gt;"Y",B679&lt;&gt;""),B679,"")</f>
        <v/>
      </c>
    </row>
    <row r="680">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f>IF(AND(A680&lt;&gt;"Y",B680&lt;&gt;""),B680,"")</f>
        <v/>
      </c>
    </row>
    <row r="681">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f>IF(AND(A681&lt;&gt;"Y",B681&lt;&gt;""),B681,"")</f>
        <v/>
      </c>
    </row>
    <row r="682">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f>IF(AND(A682&lt;&gt;"Y",B682&lt;&gt;""),B682,"")</f>
        <v/>
      </c>
    </row>
    <row r="683">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f>IF(AND(A683&lt;&gt;"Y",B683&lt;&gt;""),B683,"")</f>
        <v/>
      </c>
    </row>
    <row r="684">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f>IF(AND(A684&lt;&gt;"Y",B684&lt;&gt;""),B684,"")</f>
        <v/>
      </c>
    </row>
    <row r="685">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f>IF(AND(A685&lt;&gt;"Y",B685&lt;&gt;""),B685,"")</f>
        <v/>
      </c>
    </row>
    <row r="686">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f>IF(AND(A686&lt;&gt;"Y",B686&lt;&gt;""),B686,"")</f>
        <v/>
      </c>
    </row>
    <row r="687">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f>IF(AND(A687&lt;&gt;"Y",B687&lt;&gt;""),B687,"")</f>
        <v/>
      </c>
    </row>
    <row r="688">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f>IF(AND(A688&lt;&gt;"Y",B688&lt;&gt;""),B688,"")</f>
        <v/>
      </c>
    </row>
    <row r="689">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f>IF(AND(A689&lt;&gt;"Y",B689&lt;&gt;""),B689,"")</f>
        <v/>
      </c>
    </row>
    <row r="690">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f>IF(AND(A690&lt;&gt;"Y",B690&lt;&gt;""),B690,"")</f>
        <v/>
      </c>
    </row>
    <row r="691">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f>IF(AND(A691&lt;&gt;"Y",B691&lt;&gt;""),B691,"")</f>
        <v/>
      </c>
    </row>
    <row r="692">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f>IF(AND(A692&lt;&gt;"Y",B692&lt;&gt;""),B692,"")</f>
        <v/>
      </c>
    </row>
    <row r="693">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f>IF(AND(A693&lt;&gt;"Y",B693&lt;&gt;""),B693,"")</f>
        <v/>
      </c>
    </row>
    <row r="694">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f>IF(AND(A694&lt;&gt;"Y",B694&lt;&gt;""),B694,"")</f>
        <v/>
      </c>
    </row>
    <row r="695">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f>IF(AND(A695&lt;&gt;"Y",B695&lt;&gt;""),B695,"")</f>
        <v/>
      </c>
    </row>
    <row r="696">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f>IF(AND(A696&lt;&gt;"Y",B696&lt;&gt;""),B696,"")</f>
        <v/>
      </c>
    </row>
    <row r="697">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f>IF(AND(A697&lt;&gt;"Y",B697&lt;&gt;""),B697,"")</f>
        <v/>
      </c>
    </row>
    <row r="698">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f>IF(AND(A698&lt;&gt;"Y",B698&lt;&gt;""),B698,"")</f>
        <v/>
      </c>
    </row>
    <row r="699">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f>IF(AND(A699&lt;&gt;"Y",B699&lt;&gt;""),B699,"")</f>
        <v/>
      </c>
    </row>
    <row r="700">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f>IF(AND(A700&lt;&gt;"Y",B700&lt;&gt;""),B700,"")</f>
        <v/>
      </c>
    </row>
    <row r="701">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f>IF(AND(A701&lt;&gt;"Y",B701&lt;&gt;""),B701,"")</f>
        <v/>
      </c>
    </row>
    <row r="702">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f>IF(AND(A702&lt;&gt;"Y",B702&lt;&gt;""),B702,"")</f>
        <v/>
      </c>
    </row>
    <row r="703">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f>IF(AND(A703&lt;&gt;"Y",B703&lt;&gt;""),B703,"")</f>
        <v/>
      </c>
    </row>
    <row r="704">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f>IF(AND(A704&lt;&gt;"Y",B704&lt;&gt;""),B704,"")</f>
        <v/>
      </c>
    </row>
    <row r="705">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f>IF(AND(A705&lt;&gt;"Y",B705&lt;&gt;""),B705,"")</f>
        <v/>
      </c>
    </row>
    <row r="706">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f>IF(AND(A706&lt;&gt;"Y",B706&lt;&gt;""),B706,"")</f>
        <v/>
      </c>
    </row>
    <row r="707">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f>IF(AND(A707&lt;&gt;"Y",B707&lt;&gt;""),B707,"")</f>
        <v/>
      </c>
    </row>
    <row r="708">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f>IF(AND(A708&lt;&gt;"Y",B708&lt;&gt;""),B708,"")</f>
        <v/>
      </c>
    </row>
    <row r="709">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f>IF(AND(A709&lt;&gt;"Y",B709&lt;&gt;""),B709,"")</f>
        <v/>
      </c>
    </row>
    <row r="710">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f>IF(AND(A710&lt;&gt;"Y",B710&lt;&gt;""),B710,"")</f>
        <v/>
      </c>
    </row>
    <row r="711">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f>IF(AND(A711&lt;&gt;"Y",B711&lt;&gt;""),B711,"")</f>
        <v/>
      </c>
    </row>
    <row r="712">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f>IF(AND(A712&lt;&gt;"Y",B712&lt;&gt;""),B712,"")</f>
        <v/>
      </c>
    </row>
    <row r="713">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f>IF(AND(A713&lt;&gt;"Y",B713&lt;&gt;""),B713,"")</f>
        <v/>
      </c>
    </row>
    <row r="714">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f>IF(AND(A714&lt;&gt;"Y",B714&lt;&gt;""),B714,"")</f>
        <v/>
      </c>
    </row>
    <row r="715">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f>IF(AND(A715&lt;&gt;"Y",B715&lt;&gt;""),B715,"")</f>
        <v/>
      </c>
    </row>
    <row r="716">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f>IF(AND(A716&lt;&gt;"Y",B716&lt;&gt;""),B716,"")</f>
        <v/>
      </c>
    </row>
    <row r="717">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f>IF(AND(A717&lt;&gt;"Y",B717&lt;&gt;""),B717,"")</f>
        <v/>
      </c>
    </row>
    <row r="718">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f>IF(AND(A718&lt;&gt;"Y",B718&lt;&gt;""),B718,"")</f>
        <v/>
      </c>
    </row>
    <row r="719">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f>IF(AND(A719&lt;&gt;"Y",B719&lt;&gt;""),B719,"")</f>
        <v/>
      </c>
    </row>
    <row r="720">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f>IF(AND(A720&lt;&gt;"Y",B720&lt;&gt;""),B720,"")</f>
        <v/>
      </c>
    </row>
    <row r="721">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f>IF(AND(A721&lt;&gt;"Y",B721&lt;&gt;""),B721,"")</f>
        <v/>
      </c>
    </row>
    <row r="722">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f>IF(AND(A722&lt;&gt;"Y",B722&lt;&gt;""),B722,"")</f>
        <v/>
      </c>
    </row>
    <row r="723">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f>IF(AND(A723&lt;&gt;"Y",B723&lt;&gt;""),B723,"")</f>
        <v/>
      </c>
    </row>
    <row r="724">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f>IF(AND(A724&lt;&gt;"Y",B724&lt;&gt;""),B724,"")</f>
        <v/>
      </c>
    </row>
    <row r="725">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f>IF(AND(A725&lt;&gt;"Y",B725&lt;&gt;""),B725,"")</f>
        <v/>
      </c>
    </row>
    <row r="726">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f>IF(AND(A726&lt;&gt;"Y",B726&lt;&gt;""),B726,"")</f>
        <v/>
      </c>
    </row>
    <row r="727">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f>IF(AND(A727&lt;&gt;"Y",B727&lt;&gt;""),B727,"")</f>
        <v/>
      </c>
    </row>
    <row r="728">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f>IF(AND(A728&lt;&gt;"Y",B728&lt;&gt;""),B728,"")</f>
        <v/>
      </c>
    </row>
    <row r="729">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f>IF(AND(A729&lt;&gt;"Y",B729&lt;&gt;""),B729,"")</f>
        <v/>
      </c>
    </row>
    <row r="730">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f>IF(AND(A730&lt;&gt;"Y",B730&lt;&gt;""),B730,"")</f>
        <v/>
      </c>
    </row>
    <row r="731">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f>IF(AND(A731&lt;&gt;"Y",B731&lt;&gt;""),B731,"")</f>
        <v/>
      </c>
    </row>
    <row r="732">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f>IF(AND(A732&lt;&gt;"Y",B732&lt;&gt;""),B732,"")</f>
        <v/>
      </c>
    </row>
    <row r="733">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f>IF(AND(A733&lt;&gt;"Y",B733&lt;&gt;""),B733,"")</f>
        <v/>
      </c>
    </row>
    <row r="734">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f>IF(AND(A734&lt;&gt;"Y",B734&lt;&gt;""),B734,"")</f>
        <v/>
      </c>
    </row>
    <row r="735">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f>IF(AND(A735&lt;&gt;"Y",B735&lt;&gt;""),B735,"")</f>
        <v/>
      </c>
    </row>
    <row r="736">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f>IF(AND(A736&lt;&gt;"Y",B736&lt;&gt;""),B736,"")</f>
        <v/>
      </c>
    </row>
    <row r="737">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f>IF(AND(A737&lt;&gt;"Y",B737&lt;&gt;""),B737,"")</f>
        <v/>
      </c>
    </row>
    <row r="738">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f>IF(AND(A738&lt;&gt;"Y",B738&lt;&gt;""),B738,"")</f>
        <v/>
      </c>
    </row>
    <row r="739">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f>IF(AND(A739&lt;&gt;"Y",B739&lt;&gt;""),B739,"")</f>
        <v/>
      </c>
    </row>
    <row r="740">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f>IF(AND(A740&lt;&gt;"Y",B740&lt;&gt;""),B740,"")</f>
        <v/>
      </c>
    </row>
    <row r="741">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f>IF(AND(A741&lt;&gt;"Y",B741&lt;&gt;""),B741,"")</f>
        <v/>
      </c>
    </row>
    <row r="742">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f>IF(AND(A742&lt;&gt;"Y",B742&lt;&gt;""),B742,"")</f>
        <v/>
      </c>
    </row>
    <row r="743">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f>IF(AND(A743&lt;&gt;"Y",B743&lt;&gt;""),B743,"")</f>
        <v/>
      </c>
    </row>
    <row r="744">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f>IF(AND(A744&lt;&gt;"Y",B744&lt;&gt;""),B744,"")</f>
        <v/>
      </c>
    </row>
    <row r="745">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f>IF(AND(A745&lt;&gt;"Y",B745&lt;&gt;""),B745,"")</f>
        <v/>
      </c>
    </row>
    <row r="746">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f>IF(AND(A746&lt;&gt;"Y",B746&lt;&gt;""),B746,"")</f>
        <v/>
      </c>
    </row>
    <row r="747">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f>IF(AND(A747&lt;&gt;"Y",B747&lt;&gt;""),B747,"")</f>
        <v/>
      </c>
    </row>
    <row r="748">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f>IF(AND(A748&lt;&gt;"Y",B748&lt;&gt;""),B748,"")</f>
        <v/>
      </c>
    </row>
    <row r="749">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f>IF(AND(A749&lt;&gt;"Y",B749&lt;&gt;""),B749,"")</f>
        <v/>
      </c>
    </row>
    <row r="750">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f>IF(AND(A750&lt;&gt;"Y",B750&lt;&gt;""),B750,"")</f>
        <v/>
      </c>
    </row>
    <row r="751">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f>IF(AND(A751&lt;&gt;"Y",B751&lt;&gt;""),B751,"")</f>
        <v/>
      </c>
    </row>
    <row r="752">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f>IF(AND(A752&lt;&gt;"Y",B752&lt;&gt;""),B752,"")</f>
        <v/>
      </c>
    </row>
    <row r="753">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f>IF(AND(A753&lt;&gt;"Y",B753&lt;&gt;""),B753,"")</f>
        <v/>
      </c>
    </row>
    <row r="754">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f>IF(AND(A754&lt;&gt;"Y",B754&lt;&gt;""),B754,"")</f>
        <v/>
      </c>
    </row>
    <row r="755">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f>IF(AND(A755&lt;&gt;"Y",B755&lt;&gt;""),B755,"")</f>
        <v/>
      </c>
    </row>
    <row r="756">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f>IF(AND(A756&lt;&gt;"Y",B756&lt;&gt;""),B756,"")</f>
        <v/>
      </c>
    </row>
    <row r="757">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f>IF(AND(A757&lt;&gt;"Y",B757&lt;&gt;""),B757,"")</f>
        <v/>
      </c>
    </row>
    <row r="758">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f>IF(AND(A758&lt;&gt;"Y",B758&lt;&gt;""),B758,"")</f>
        <v/>
      </c>
    </row>
    <row r="759">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f>IF(AND(A759&lt;&gt;"Y",B759&lt;&gt;""),B759,"")</f>
        <v/>
      </c>
    </row>
    <row r="760">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f>IF(AND(A760&lt;&gt;"Y",B760&lt;&gt;""),B760,"")</f>
        <v/>
      </c>
    </row>
    <row r="761">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f>IF(AND(A761&lt;&gt;"Y",B761&lt;&gt;""),B761,"")</f>
        <v/>
      </c>
    </row>
    <row r="762">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f>IF(AND(A762&lt;&gt;"Y",B762&lt;&gt;""),B762,"")</f>
        <v/>
      </c>
    </row>
    <row r="763">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f>IF(AND(A763&lt;&gt;"Y",B763&lt;&gt;""),B763,"")</f>
        <v/>
      </c>
    </row>
    <row r="764">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f>IF(AND(A764&lt;&gt;"Y",B764&lt;&gt;""),B764,"")</f>
        <v/>
      </c>
    </row>
    <row r="765">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f>IF(AND(A765&lt;&gt;"Y",B765&lt;&gt;""),B765,"")</f>
        <v/>
      </c>
    </row>
    <row r="766">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f>IF(AND(A766&lt;&gt;"Y",B766&lt;&gt;""),B766,"")</f>
        <v/>
      </c>
    </row>
    <row r="767">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f>IF(AND(A767&lt;&gt;"Y",B767&lt;&gt;""),B767,"")</f>
        <v/>
      </c>
    </row>
    <row r="768">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f>IF(AND(A768&lt;&gt;"Y",B768&lt;&gt;""),B768,"")</f>
        <v/>
      </c>
    </row>
    <row r="769">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f>IF(AND(A769&lt;&gt;"Y",B769&lt;&gt;""),B769,"")</f>
        <v/>
      </c>
    </row>
    <row r="770">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f>IF(AND(A770&lt;&gt;"Y",B770&lt;&gt;""),B770,"")</f>
        <v/>
      </c>
    </row>
    <row r="771">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f>IF(AND(A771&lt;&gt;"Y",B771&lt;&gt;""),B771,"")</f>
        <v/>
      </c>
    </row>
    <row r="772">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f>IF(AND(A772&lt;&gt;"Y",B772&lt;&gt;""),B772,"")</f>
        <v/>
      </c>
    </row>
    <row r="773">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f>IF(AND(A773&lt;&gt;"Y",B773&lt;&gt;""),B773,"")</f>
        <v/>
      </c>
    </row>
    <row r="774">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f>IF(AND(A774&lt;&gt;"Y",B774&lt;&gt;""),B774,"")</f>
        <v/>
      </c>
    </row>
    <row r="775">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f>IF(AND(A775&lt;&gt;"Y",B775&lt;&gt;""),B775,"")</f>
        <v/>
      </c>
    </row>
    <row r="776">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f>IF(AND(A776&lt;&gt;"Y",B776&lt;&gt;""),B776,"")</f>
        <v/>
      </c>
    </row>
    <row r="777">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f>IF(AND(A777&lt;&gt;"Y",B777&lt;&gt;""),B777,"")</f>
        <v/>
      </c>
    </row>
    <row r="778">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f>IF(AND(A778&lt;&gt;"Y",B778&lt;&gt;""),B778,"")</f>
        <v/>
      </c>
    </row>
    <row r="779">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f>IF(AND(A779&lt;&gt;"Y",B779&lt;&gt;""),B779,"")</f>
        <v/>
      </c>
    </row>
    <row r="780">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f>IF(AND(A780&lt;&gt;"Y",B780&lt;&gt;""),B780,"")</f>
        <v/>
      </c>
    </row>
    <row r="781">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f>IF(AND(A781&lt;&gt;"Y",B781&lt;&gt;""),B781,"")</f>
        <v/>
      </c>
    </row>
    <row r="782">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f>IF(AND(A782&lt;&gt;"Y",B782&lt;&gt;""),B782,"")</f>
        <v/>
      </c>
    </row>
    <row r="783">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f>IF(AND(A783&lt;&gt;"Y",B783&lt;&gt;""),B783,"")</f>
        <v/>
      </c>
    </row>
    <row r="784">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f>IF(AND(A784&lt;&gt;"Y",B784&lt;&gt;""),B784,"")</f>
        <v/>
      </c>
    </row>
    <row r="785">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f>IF(AND(A785&lt;&gt;"Y",B785&lt;&gt;""),B785,"")</f>
        <v/>
      </c>
    </row>
    <row r="786">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f>IF(AND(A786&lt;&gt;"Y",B786&lt;&gt;""),B786,"")</f>
        <v/>
      </c>
    </row>
    <row r="787">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f>IF(AND(A787&lt;&gt;"Y",B787&lt;&gt;""),B787,"")</f>
        <v/>
      </c>
    </row>
    <row r="788">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f>IF(AND(A788&lt;&gt;"Y",B788&lt;&gt;""),B788,"")</f>
        <v/>
      </c>
    </row>
    <row r="789">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f>IF(AND(A789&lt;&gt;"Y",B789&lt;&gt;""),B789,"")</f>
        <v/>
      </c>
    </row>
    <row r="790">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f>IF(AND(A790&lt;&gt;"Y",B790&lt;&gt;""),B790,"")</f>
        <v/>
      </c>
    </row>
    <row r="791">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f>IF(AND(A791&lt;&gt;"Y",B791&lt;&gt;""),B791,"")</f>
        <v/>
      </c>
    </row>
    <row r="792">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f>IF(AND(A792&lt;&gt;"Y",B792&lt;&gt;""),B792,"")</f>
        <v/>
      </c>
    </row>
    <row r="793">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f>IF(AND(A793&lt;&gt;"Y",B793&lt;&gt;""),B793,"")</f>
        <v/>
      </c>
    </row>
    <row r="794">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f>IF(AND(A794&lt;&gt;"Y",B794&lt;&gt;""),B794,"")</f>
        <v/>
      </c>
    </row>
    <row r="795">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f>IF(AND(A795&lt;&gt;"Y",B795&lt;&gt;""),B795,"")</f>
        <v/>
      </c>
    </row>
    <row r="796">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f>IF(AND(A796&lt;&gt;"Y",B796&lt;&gt;""),B796,"")</f>
        <v/>
      </c>
    </row>
    <row r="797">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f>IF(AND(A797&lt;&gt;"Y",B797&lt;&gt;""),B797,"")</f>
        <v/>
      </c>
    </row>
    <row r="798">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f>IF(AND(A798&lt;&gt;"Y",B798&lt;&gt;""),B798,"")</f>
        <v/>
      </c>
    </row>
    <row r="799">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f>IF(AND(A799&lt;&gt;"Y",B799&lt;&gt;""),B799,"")</f>
        <v/>
      </c>
    </row>
    <row r="800">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f>IF(AND(A800&lt;&gt;"Y",B800&lt;&gt;""),B800,"")</f>
        <v/>
      </c>
    </row>
    <row r="801">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f>IF(AND(A801&lt;&gt;"Y",B801&lt;&gt;""),B801,"")</f>
        <v/>
      </c>
    </row>
    <row r="802">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f>IF(AND(A802&lt;&gt;"Y",B802&lt;&gt;""),B802,"")</f>
        <v/>
      </c>
    </row>
    <row r="803">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f>IF(AND(A803&lt;&gt;"Y",B803&lt;&gt;""),B803,"")</f>
        <v/>
      </c>
    </row>
    <row r="804">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f>IF(AND(A804&lt;&gt;"Y",B804&lt;&gt;""),B804,"")</f>
        <v/>
      </c>
    </row>
    <row r="805">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f>IF(AND(A805&lt;&gt;"Y",B805&lt;&gt;""),B805,"")</f>
        <v/>
      </c>
    </row>
    <row r="806">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f>IF(AND(A806&lt;&gt;"Y",B806&lt;&gt;""),B806,"")</f>
        <v/>
      </c>
    </row>
    <row r="807">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f>IF(AND(A807&lt;&gt;"Y",B807&lt;&gt;""),B807,"")</f>
        <v/>
      </c>
    </row>
    <row r="808">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f>IF(AND(A808&lt;&gt;"Y",B808&lt;&gt;""),B808,"")</f>
        <v/>
      </c>
    </row>
    <row r="809">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f>IF(AND(A809&lt;&gt;"Y",B809&lt;&gt;""),B809,"")</f>
        <v/>
      </c>
    </row>
    <row r="810">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f>IF(AND(A810&lt;&gt;"Y",B810&lt;&gt;""),B810,"")</f>
        <v/>
      </c>
    </row>
    <row r="811">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f>IF(AND(A811&lt;&gt;"Y",B811&lt;&gt;""),B811,"")</f>
        <v/>
      </c>
    </row>
    <row r="812">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f>IF(AND(A812&lt;&gt;"Y",B812&lt;&gt;""),B812,"")</f>
        <v/>
      </c>
    </row>
    <row r="813">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f>IF(AND(A813&lt;&gt;"Y",B813&lt;&gt;""),B813,"")</f>
        <v/>
      </c>
    </row>
    <row r="814">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f>IF(AND(A814&lt;&gt;"Y",B814&lt;&gt;""),B814,"")</f>
        <v/>
      </c>
    </row>
    <row r="815">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f>IF(AND(A815&lt;&gt;"Y",B815&lt;&gt;""),B815,"")</f>
        <v/>
      </c>
    </row>
    <row r="816">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f>IF(AND(A816&lt;&gt;"Y",B816&lt;&gt;""),B816,"")</f>
        <v/>
      </c>
    </row>
    <row r="817">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f>IF(AND(A817&lt;&gt;"Y",B817&lt;&gt;""),B817,"")</f>
        <v/>
      </c>
    </row>
    <row r="818">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f>IF(AND(A818&lt;&gt;"Y",B818&lt;&gt;""),B818,"")</f>
        <v/>
      </c>
    </row>
    <row r="819">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f>IF(AND(A819&lt;&gt;"Y",B819&lt;&gt;""),B819,"")</f>
        <v/>
      </c>
    </row>
    <row r="820">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f>IF(AND(A820&lt;&gt;"Y",B820&lt;&gt;""),B820,"")</f>
        <v/>
      </c>
    </row>
    <row r="821">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f>IF(AND(A821&lt;&gt;"Y",B821&lt;&gt;""),B821,"")</f>
        <v/>
      </c>
    </row>
    <row r="822">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f>IF(AND(A822&lt;&gt;"Y",B822&lt;&gt;""),B822,"")</f>
        <v/>
      </c>
    </row>
    <row r="823">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f>IF(AND(A823&lt;&gt;"Y",B823&lt;&gt;""),B823,"")</f>
        <v/>
      </c>
    </row>
    <row r="824">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f>IF(AND(A824&lt;&gt;"Y",B824&lt;&gt;""),B824,"")</f>
        <v/>
      </c>
    </row>
    <row r="825">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f>IF(AND(A825&lt;&gt;"Y",B825&lt;&gt;""),B825,"")</f>
        <v/>
      </c>
    </row>
    <row r="826">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f>IF(AND(A826&lt;&gt;"Y",B826&lt;&gt;""),B826,"")</f>
        <v/>
      </c>
    </row>
    <row r="827">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f>IF(AND(A827&lt;&gt;"Y",B827&lt;&gt;""),B827,"")</f>
        <v/>
      </c>
    </row>
    <row r="828">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f>IF(AND(A828&lt;&gt;"Y",B828&lt;&gt;""),B828,"")</f>
        <v/>
      </c>
    </row>
    <row r="829">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f>IF(AND(A829&lt;&gt;"Y",B829&lt;&gt;""),B829,"")</f>
        <v/>
      </c>
    </row>
    <row r="830">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f>IF(AND(A830&lt;&gt;"Y",B830&lt;&gt;""),B830,"")</f>
        <v/>
      </c>
    </row>
    <row r="831">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f>IF(AND(A831&lt;&gt;"Y",B831&lt;&gt;""),B831,"")</f>
        <v/>
      </c>
    </row>
    <row r="832">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f>IF(AND(A832&lt;&gt;"Y",B832&lt;&gt;""),B832,"")</f>
        <v/>
      </c>
    </row>
    <row r="833">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f>IF(AND(A833&lt;&gt;"Y",B833&lt;&gt;""),B833,"")</f>
        <v/>
      </c>
    </row>
    <row r="834">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f>IF(AND(A834&lt;&gt;"Y",B834&lt;&gt;""),B834,"")</f>
        <v/>
      </c>
    </row>
    <row r="835">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f>IF(AND(A835&lt;&gt;"Y",B835&lt;&gt;""),B835,"")</f>
        <v/>
      </c>
    </row>
    <row r="836">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f>IF(AND(A836&lt;&gt;"Y",B836&lt;&gt;""),B836,"")</f>
        <v/>
      </c>
    </row>
    <row r="837">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f>IF(AND(A837&lt;&gt;"Y",B837&lt;&gt;""),B837,"")</f>
        <v/>
      </c>
    </row>
    <row r="838">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f>IF(AND(A838&lt;&gt;"Y",B838&lt;&gt;""),B838,"")</f>
        <v/>
      </c>
    </row>
    <row r="839">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f>IF(AND(A839&lt;&gt;"Y",B839&lt;&gt;""),B839,"")</f>
        <v/>
      </c>
    </row>
    <row r="840">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f>IF(AND(A840&lt;&gt;"Y",B840&lt;&gt;""),B840,"")</f>
        <v/>
      </c>
    </row>
    <row r="841">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f>IF(AND(A841&lt;&gt;"Y",B841&lt;&gt;""),B841,"")</f>
        <v/>
      </c>
    </row>
    <row r="842">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f>IF(AND(A842&lt;&gt;"Y",B842&lt;&gt;""),B842,"")</f>
        <v/>
      </c>
    </row>
    <row r="843">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f>IF(AND(A843&lt;&gt;"Y",B843&lt;&gt;""),B843,"")</f>
        <v/>
      </c>
    </row>
    <row r="844">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f>IF(AND(A844&lt;&gt;"Y",B844&lt;&gt;""),B844,"")</f>
        <v/>
      </c>
    </row>
    <row r="845">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f>IF(AND(A845&lt;&gt;"Y",B845&lt;&gt;""),B845,"")</f>
        <v/>
      </c>
    </row>
    <row r="846">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f>IF(AND(A846&lt;&gt;"Y",B846&lt;&gt;""),B846,"")</f>
        <v/>
      </c>
    </row>
    <row r="847">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f>IF(AND(A847&lt;&gt;"Y",B847&lt;&gt;""),B847,"")</f>
        <v/>
      </c>
    </row>
    <row r="848">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f>IF(AND(A848&lt;&gt;"Y",B848&lt;&gt;""),B848,"")</f>
        <v/>
      </c>
    </row>
    <row r="849">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f>IF(AND(A849&lt;&gt;"Y",B849&lt;&gt;""),B849,"")</f>
        <v/>
      </c>
    </row>
    <row r="850">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f>IF(AND(A850&lt;&gt;"Y",B850&lt;&gt;""),B850,"")</f>
        <v/>
      </c>
    </row>
    <row r="851">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f>IF(AND(A851&lt;&gt;"Y",B851&lt;&gt;""),B851,"")</f>
        <v/>
      </c>
    </row>
    <row r="852">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f>IF(AND(A852&lt;&gt;"Y",B852&lt;&gt;""),B852,"")</f>
        <v/>
      </c>
    </row>
    <row r="853">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f>IF(AND(A853&lt;&gt;"Y",B853&lt;&gt;""),B853,"")</f>
        <v/>
      </c>
    </row>
    <row r="854">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f>IF(AND(A854&lt;&gt;"Y",B854&lt;&gt;""),B854,"")</f>
        <v/>
      </c>
    </row>
    <row r="855">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f>IF(AND(A855&lt;&gt;"Y",B855&lt;&gt;""),B855,"")</f>
        <v/>
      </c>
    </row>
    <row r="856">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f>IF(AND(A856&lt;&gt;"Y",B856&lt;&gt;""),B856,"")</f>
        <v/>
      </c>
    </row>
    <row r="857">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f>IF(AND(A857&lt;&gt;"Y",B857&lt;&gt;""),B857,"")</f>
        <v/>
      </c>
    </row>
    <row r="858">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f>IF(AND(A858&lt;&gt;"Y",B858&lt;&gt;""),B858,"")</f>
        <v/>
      </c>
    </row>
    <row r="859">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f>IF(AND(A859&lt;&gt;"Y",B859&lt;&gt;""),B859,"")</f>
        <v/>
      </c>
    </row>
    <row r="860">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f>IF(AND(A860&lt;&gt;"Y",B860&lt;&gt;""),B860,"")</f>
        <v/>
      </c>
    </row>
    <row r="861">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f>IF(AND(A861&lt;&gt;"Y",B861&lt;&gt;""),B861,"")</f>
        <v/>
      </c>
    </row>
    <row r="862">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f>IF(AND(A862&lt;&gt;"Y",B862&lt;&gt;""),B862,"")</f>
        <v/>
      </c>
    </row>
    <row r="863">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f>IF(AND(A863&lt;&gt;"Y",B863&lt;&gt;""),B863,"")</f>
        <v/>
      </c>
    </row>
    <row r="864">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f>IF(AND(A864&lt;&gt;"Y",B864&lt;&gt;""),B864,"")</f>
        <v/>
      </c>
    </row>
    <row r="865">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f>IF(AND(A865&lt;&gt;"Y",B865&lt;&gt;""),B865,"")</f>
        <v/>
      </c>
    </row>
    <row r="866">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f>IF(AND(A866&lt;&gt;"Y",B866&lt;&gt;""),B866,"")</f>
        <v/>
      </c>
    </row>
    <row r="867">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f>IF(AND(A867&lt;&gt;"Y",B867&lt;&gt;""),B867,"")</f>
        <v/>
      </c>
    </row>
    <row r="868">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f>IF(AND(A868&lt;&gt;"Y",B868&lt;&gt;""),B868,"")</f>
        <v/>
      </c>
    </row>
    <row r="869">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f>IF(AND(A869&lt;&gt;"Y",B869&lt;&gt;""),B869,"")</f>
        <v/>
      </c>
    </row>
    <row r="870">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f>IF(AND(A870&lt;&gt;"Y",B870&lt;&gt;""),B870,"")</f>
        <v/>
      </c>
    </row>
    <row r="871">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f>IF(AND(A871&lt;&gt;"Y",B871&lt;&gt;""),B871,"")</f>
        <v/>
      </c>
    </row>
    <row r="872">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f>IF(AND(A872&lt;&gt;"Y",B872&lt;&gt;""),B872,"")</f>
        <v/>
      </c>
    </row>
    <row r="873">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f>IF(AND(A873&lt;&gt;"Y",B873&lt;&gt;""),B873,"")</f>
        <v/>
      </c>
    </row>
    <row r="874">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f>IF(AND(A874&lt;&gt;"Y",B874&lt;&gt;""),B874,"")</f>
        <v/>
      </c>
    </row>
    <row r="875">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f>IF(AND(A875&lt;&gt;"Y",B875&lt;&gt;""),B875,"")</f>
        <v/>
      </c>
    </row>
    <row r="876">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f>IF(AND(A876&lt;&gt;"Y",B876&lt;&gt;""),B876,"")</f>
        <v/>
      </c>
    </row>
    <row r="877">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f>IF(AND(A877&lt;&gt;"Y",B877&lt;&gt;""),B877,"")</f>
        <v/>
      </c>
    </row>
    <row r="878">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f>IF(AND(A878&lt;&gt;"Y",B878&lt;&gt;""),B878,"")</f>
        <v/>
      </c>
    </row>
    <row r="879">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f>IF(AND(A879&lt;&gt;"Y",B879&lt;&gt;""),B879,"")</f>
        <v/>
      </c>
    </row>
    <row r="880">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f>IF(AND(A880&lt;&gt;"Y",B880&lt;&gt;""),B880,"")</f>
        <v/>
      </c>
    </row>
    <row r="881">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f>IF(AND(A881&lt;&gt;"Y",B881&lt;&gt;""),B881,"")</f>
        <v/>
      </c>
    </row>
    <row r="882">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f>IF(AND(A882&lt;&gt;"Y",B882&lt;&gt;""),B882,"")</f>
        <v/>
      </c>
    </row>
    <row r="883">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f>IF(AND(A883&lt;&gt;"Y",B883&lt;&gt;""),B883,"")</f>
        <v/>
      </c>
    </row>
    <row r="884">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f>IF(AND(A884&lt;&gt;"Y",B884&lt;&gt;""),B884,"")</f>
        <v/>
      </c>
    </row>
    <row r="885">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f>IF(AND(A885&lt;&gt;"Y",B885&lt;&gt;""),B885,"")</f>
        <v/>
      </c>
    </row>
    <row r="886">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f>IF(AND(A886&lt;&gt;"Y",B886&lt;&gt;""),B886,"")</f>
        <v/>
      </c>
    </row>
    <row r="887">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f>IF(AND(A887&lt;&gt;"Y",B887&lt;&gt;""),B887,"")</f>
        <v/>
      </c>
    </row>
    <row r="888">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f>IF(AND(A888&lt;&gt;"Y",B888&lt;&gt;""),B888,"")</f>
        <v/>
      </c>
    </row>
    <row r="889">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f>IF(AND(A889&lt;&gt;"Y",B889&lt;&gt;""),B889,"")</f>
        <v/>
      </c>
    </row>
    <row r="890">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f>IF(AND(A890&lt;&gt;"Y",B890&lt;&gt;""),B890,"")</f>
        <v/>
      </c>
    </row>
    <row r="891">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f>IF(AND(A891&lt;&gt;"Y",B891&lt;&gt;""),B891,"")</f>
        <v/>
      </c>
    </row>
    <row r="892">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f>IF(AND(A892&lt;&gt;"Y",B892&lt;&gt;""),B892,"")</f>
        <v/>
      </c>
    </row>
    <row r="893">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f>IF(AND(A893&lt;&gt;"Y",B893&lt;&gt;""),B893,"")</f>
        <v/>
      </c>
    </row>
    <row r="894">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f>IF(AND(A894&lt;&gt;"Y",B894&lt;&gt;""),B894,"")</f>
        <v/>
      </c>
    </row>
    <row r="895">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f>IF(AND(A895&lt;&gt;"Y",B895&lt;&gt;""),B895,"")</f>
        <v/>
      </c>
    </row>
    <row r="896">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f>IF(AND(A896&lt;&gt;"Y",B896&lt;&gt;""),B896,"")</f>
        <v/>
      </c>
    </row>
    <row r="897">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f>IF(AND(A897&lt;&gt;"Y",B897&lt;&gt;""),B897,"")</f>
        <v/>
      </c>
    </row>
    <row r="898">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f>IF(AND(A898&lt;&gt;"Y",B898&lt;&gt;""),B898,"")</f>
        <v/>
      </c>
    </row>
    <row r="899">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f>IF(AND(A899&lt;&gt;"Y",B899&lt;&gt;""),B899,"")</f>
        <v/>
      </c>
    </row>
    <row r="900">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f>IF(AND(A900&lt;&gt;"Y",B900&lt;&gt;""),B900,"")</f>
        <v/>
      </c>
    </row>
    <row r="901">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f>IF(AND(A901&lt;&gt;"Y",B901&lt;&gt;""),B901,"")</f>
        <v/>
      </c>
    </row>
    <row r="902">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f>IF(AND(A902&lt;&gt;"Y",B902&lt;&gt;""),B902,"")</f>
        <v/>
      </c>
    </row>
    <row r="903">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f>IF(AND(A903&lt;&gt;"Y",B903&lt;&gt;""),B903,"")</f>
        <v/>
      </c>
    </row>
    <row r="904">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f>IF(AND(A904&lt;&gt;"Y",B904&lt;&gt;""),B904,"")</f>
        <v/>
      </c>
    </row>
    <row r="905">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f>IF(AND(A905&lt;&gt;"Y",B905&lt;&gt;""),B905,"")</f>
        <v/>
      </c>
    </row>
    <row r="906">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f>IF(AND(A906&lt;&gt;"Y",B906&lt;&gt;""),B906,"")</f>
        <v/>
      </c>
    </row>
    <row r="907">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f>IF(AND(A907&lt;&gt;"Y",B907&lt;&gt;""),B907,"")</f>
        <v/>
      </c>
    </row>
    <row r="908">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f>IF(AND(A908&lt;&gt;"Y",B908&lt;&gt;""),B908,"")</f>
        <v/>
      </c>
    </row>
    <row r="909">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f>IF(AND(A909&lt;&gt;"Y",B909&lt;&gt;""),B909,"")</f>
        <v/>
      </c>
    </row>
    <row r="910">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f>IF(AND(A910&lt;&gt;"Y",B910&lt;&gt;""),B910,"")</f>
        <v/>
      </c>
    </row>
    <row r="911">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f>IF(AND(A911&lt;&gt;"Y",B911&lt;&gt;""),B911,"")</f>
        <v/>
      </c>
    </row>
    <row r="912">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f>IF(AND(A912&lt;&gt;"Y",B912&lt;&gt;""),B912,"")</f>
        <v/>
      </c>
    </row>
    <row r="913">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f>IF(AND(A913&lt;&gt;"Y",B913&lt;&gt;""),B913,"")</f>
        <v/>
      </c>
    </row>
    <row r="914">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f>IF(AND(A914&lt;&gt;"Y",B914&lt;&gt;""),B914,"")</f>
        <v/>
      </c>
    </row>
    <row r="915">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f>IF(AND(A915&lt;&gt;"Y",B915&lt;&gt;""),B915,"")</f>
        <v/>
      </c>
    </row>
    <row r="916">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f>IF(AND(A916&lt;&gt;"Y",B916&lt;&gt;""),B916,"")</f>
        <v/>
      </c>
    </row>
    <row r="917">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f>IF(AND(A917&lt;&gt;"Y",B917&lt;&gt;""),B917,"")</f>
        <v/>
      </c>
    </row>
    <row r="918">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f>IF(AND(A918&lt;&gt;"Y",B918&lt;&gt;""),B918,"")</f>
        <v/>
      </c>
    </row>
    <row r="919">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f>IF(AND(A919&lt;&gt;"Y",B919&lt;&gt;""),B919,"")</f>
        <v/>
      </c>
    </row>
    <row r="920">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f>IF(AND(A920&lt;&gt;"Y",B920&lt;&gt;""),B920,"")</f>
        <v/>
      </c>
    </row>
    <row r="921">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f>IF(AND(A921&lt;&gt;"Y",B921&lt;&gt;""),B921,"")</f>
        <v/>
      </c>
    </row>
    <row r="922">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f>IF(AND(A922&lt;&gt;"Y",B922&lt;&gt;""),B922,"")</f>
        <v/>
      </c>
    </row>
    <row r="923">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f>IF(AND(A923&lt;&gt;"Y",B923&lt;&gt;""),B923,"")</f>
        <v/>
      </c>
    </row>
    <row r="924">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f>IF(AND(A924&lt;&gt;"Y",B924&lt;&gt;""),B924,"")</f>
        <v/>
      </c>
    </row>
    <row r="925">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f>IF(AND(A925&lt;&gt;"Y",B925&lt;&gt;""),B925,"")</f>
        <v/>
      </c>
    </row>
    <row r="926">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f>IF(AND(A926&lt;&gt;"Y",B926&lt;&gt;""),B926,"")</f>
        <v/>
      </c>
    </row>
    <row r="927">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f>IF(AND(A927&lt;&gt;"Y",B927&lt;&gt;""),B927,"")</f>
        <v/>
      </c>
    </row>
    <row r="928">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f>IF(AND(A928&lt;&gt;"Y",B928&lt;&gt;""),B928,"")</f>
        <v/>
      </c>
    </row>
    <row r="929">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f>IF(AND(A929&lt;&gt;"Y",B929&lt;&gt;""),B929,"")</f>
        <v/>
      </c>
    </row>
    <row r="930">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f>IF(AND(A930&lt;&gt;"Y",B930&lt;&gt;""),B930,"")</f>
        <v/>
      </c>
    </row>
    <row r="931">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f>IF(AND(A931&lt;&gt;"Y",B931&lt;&gt;""),B931,"")</f>
        <v/>
      </c>
    </row>
    <row r="932">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f>IF(AND(A932&lt;&gt;"Y",B932&lt;&gt;""),B932,"")</f>
        <v/>
      </c>
    </row>
    <row r="933">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f>IF(AND(A933&lt;&gt;"Y",B933&lt;&gt;""),B933,"")</f>
        <v/>
      </c>
    </row>
    <row r="934">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f>IF(AND(A934&lt;&gt;"Y",B934&lt;&gt;""),B934,"")</f>
        <v/>
      </c>
    </row>
    <row r="935">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f>IF(AND(A935&lt;&gt;"Y",B935&lt;&gt;""),B935,"")</f>
        <v/>
      </c>
    </row>
    <row r="936">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f>IF(AND(A936&lt;&gt;"Y",B936&lt;&gt;""),B936,"")</f>
        <v/>
      </c>
    </row>
    <row r="937">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f>IF(AND(A937&lt;&gt;"Y",B937&lt;&gt;""),B937,"")</f>
        <v/>
      </c>
    </row>
    <row r="938">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f>IF(AND(A938&lt;&gt;"Y",B938&lt;&gt;""),B938,"")</f>
        <v/>
      </c>
    </row>
    <row r="939">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f>IF(AND(A939&lt;&gt;"Y",B939&lt;&gt;""),B939,"")</f>
        <v/>
      </c>
    </row>
    <row r="940">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f>IF(AND(A940&lt;&gt;"Y",B940&lt;&gt;""),B940,"")</f>
        <v/>
      </c>
    </row>
    <row r="941">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f>IF(AND(A941&lt;&gt;"Y",B941&lt;&gt;""),B941,"")</f>
        <v/>
      </c>
    </row>
    <row r="942">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f>IF(AND(A942&lt;&gt;"Y",B942&lt;&gt;""),B942,"")</f>
        <v/>
      </c>
    </row>
    <row r="943">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f>IF(AND(A943&lt;&gt;"Y",B943&lt;&gt;""),B943,"")</f>
        <v/>
      </c>
    </row>
    <row r="944">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f>IF(AND(A944&lt;&gt;"Y",B944&lt;&gt;""),B944,"")</f>
        <v/>
      </c>
    </row>
    <row r="945">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f>IF(AND(A945&lt;&gt;"Y",B945&lt;&gt;""),B945,"")</f>
        <v/>
      </c>
    </row>
    <row r="946">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f>IF(AND(A946&lt;&gt;"Y",B946&lt;&gt;""),B946,"")</f>
        <v/>
      </c>
    </row>
    <row r="947">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f>IF(AND(A947&lt;&gt;"Y",B947&lt;&gt;""),B947,"")</f>
        <v/>
      </c>
    </row>
    <row r="948">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f>IF(AND(A948&lt;&gt;"Y",B948&lt;&gt;""),B948,"")</f>
        <v/>
      </c>
    </row>
    <row r="949">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f>IF(AND(A949&lt;&gt;"Y",B949&lt;&gt;""),B949,"")</f>
        <v/>
      </c>
    </row>
    <row r="950">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f>IF(AND(A950&lt;&gt;"Y",B950&lt;&gt;""),B950,"")</f>
        <v/>
      </c>
    </row>
    <row r="951">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f>IF(AND(A951&lt;&gt;"Y",B951&lt;&gt;""),B951,"")</f>
        <v/>
      </c>
    </row>
    <row r="952">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f>IF(AND(A952&lt;&gt;"Y",B952&lt;&gt;""),B952,"")</f>
        <v/>
      </c>
    </row>
    <row r="953">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f>IF(AND(A953&lt;&gt;"Y",B953&lt;&gt;""),B953,"")</f>
        <v/>
      </c>
    </row>
    <row r="954">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f>IF(AND(A954&lt;&gt;"Y",B954&lt;&gt;""),B954,"")</f>
        <v/>
      </c>
    </row>
    <row r="955">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f>IF(AND(A955&lt;&gt;"Y",B955&lt;&gt;""),B955,"")</f>
        <v/>
      </c>
    </row>
    <row r="956">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f>IF(AND(A956&lt;&gt;"Y",B956&lt;&gt;""),B956,"")</f>
        <v/>
      </c>
    </row>
    <row r="957">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f>IF(AND(A957&lt;&gt;"Y",B957&lt;&gt;""),B957,"")</f>
        <v/>
      </c>
    </row>
    <row r="958">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f>IF(AND(A958&lt;&gt;"Y",B958&lt;&gt;""),B958,"")</f>
        <v/>
      </c>
    </row>
    <row r="959">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f>IF(AND(A959&lt;&gt;"Y",B959&lt;&gt;""),B959,"")</f>
        <v/>
      </c>
    </row>
    <row r="960">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f>IF(AND(A960&lt;&gt;"Y",B960&lt;&gt;""),B960,"")</f>
        <v/>
      </c>
    </row>
    <row r="961">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f>IF(AND(A961&lt;&gt;"Y",B961&lt;&gt;""),B961,"")</f>
        <v/>
      </c>
    </row>
    <row r="962">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f>IF(AND(A962&lt;&gt;"Y",B962&lt;&gt;""),B962,"")</f>
        <v/>
      </c>
    </row>
    <row r="963">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f>IF(AND(A963&lt;&gt;"Y",B963&lt;&gt;""),B963,"")</f>
        <v/>
      </c>
    </row>
    <row r="964">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f>IF(AND(A964&lt;&gt;"Y",B964&lt;&gt;""),B964,"")</f>
        <v/>
      </c>
    </row>
    <row r="965">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f>IF(AND(A965&lt;&gt;"Y",B965&lt;&gt;""),B965,"")</f>
        <v/>
      </c>
    </row>
    <row r="966">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f>IF(AND(A966&lt;&gt;"Y",B966&lt;&gt;""),B966,"")</f>
        <v/>
      </c>
    </row>
    <row r="967">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f>IF(AND(A967&lt;&gt;"Y",B967&lt;&gt;""),B967,"")</f>
        <v/>
      </c>
    </row>
    <row r="968">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f>IF(AND(A968&lt;&gt;"Y",B968&lt;&gt;""),B968,"")</f>
        <v/>
      </c>
    </row>
    <row r="969">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f>IF(AND(A969&lt;&gt;"Y",B969&lt;&gt;""),B969,"")</f>
        <v/>
      </c>
    </row>
    <row r="970">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f>IF(AND(A970&lt;&gt;"Y",B970&lt;&gt;""),B970,"")</f>
        <v/>
      </c>
    </row>
    <row r="971">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f>IF(AND(A971&lt;&gt;"Y",B971&lt;&gt;""),B971,"")</f>
        <v/>
      </c>
    </row>
    <row r="972">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f>IF(AND(A972&lt;&gt;"Y",B972&lt;&gt;""),B972,"")</f>
        <v/>
      </c>
    </row>
    <row r="973">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f>IF(AND(A973&lt;&gt;"Y",B973&lt;&gt;""),B973,"")</f>
        <v/>
      </c>
    </row>
    <row r="974">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f>IF(AND(A974&lt;&gt;"Y",B974&lt;&gt;""),B974,"")</f>
        <v/>
      </c>
    </row>
    <row r="975">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f>IF(AND(A975&lt;&gt;"Y",B975&lt;&gt;""),B975,"")</f>
        <v/>
      </c>
    </row>
    <row r="976">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f>IF(AND(A976&lt;&gt;"Y",B976&lt;&gt;""),B976,"")</f>
        <v/>
      </c>
    </row>
    <row r="977">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f>IF(AND(A977&lt;&gt;"Y",B977&lt;&gt;""),B977,"")</f>
        <v/>
      </c>
    </row>
    <row r="978">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f>IF(AND(A978&lt;&gt;"Y",B978&lt;&gt;""),B978,"")</f>
        <v/>
      </c>
    </row>
    <row r="979">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f>IF(AND(A979&lt;&gt;"Y",B979&lt;&gt;""),B979,"")</f>
        <v/>
      </c>
    </row>
    <row r="980">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f>IF(AND(A980&lt;&gt;"Y",B980&lt;&gt;""),B980,"")</f>
        <v/>
      </c>
    </row>
    <row r="981">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f>IF(AND(A981&lt;&gt;"Y",B981&lt;&gt;""),B981,"")</f>
        <v/>
      </c>
    </row>
    <row r="982">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f>IF(AND(A982&lt;&gt;"Y",B982&lt;&gt;""),B982,"")</f>
        <v/>
      </c>
    </row>
    <row r="983">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f>IF(AND(A983&lt;&gt;"Y",B983&lt;&gt;""),B983,"")</f>
        <v/>
      </c>
    </row>
    <row r="984">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f>IF(AND(A984&lt;&gt;"Y",B984&lt;&gt;""),B984,"")</f>
        <v/>
      </c>
    </row>
    <row r="985">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f>IF(AND(A985&lt;&gt;"Y",B985&lt;&gt;""),B985,"")</f>
        <v/>
      </c>
    </row>
    <row r="986">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f>IF(AND(A986&lt;&gt;"Y",B986&lt;&gt;""),B986,"")</f>
        <v/>
      </c>
    </row>
    <row r="987">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f>IF(AND(A987&lt;&gt;"Y",B987&lt;&gt;""),B987,"")</f>
        <v/>
      </c>
    </row>
    <row r="988">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f>IF(AND(A988&lt;&gt;"Y",B988&lt;&gt;""),B988,"")</f>
        <v/>
      </c>
    </row>
    <row r="989">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f>IF(AND(A989&lt;&gt;"Y",B989&lt;&gt;""),B989,"")</f>
        <v/>
      </c>
    </row>
    <row r="990">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f>IF(AND(A990&lt;&gt;"Y",B990&lt;&gt;""),B990,"")</f>
        <v/>
      </c>
    </row>
    <row r="991">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f>IF(AND(A991&lt;&gt;"Y",B991&lt;&gt;""),B991,"")</f>
        <v/>
      </c>
    </row>
    <row r="992">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f>IF(AND(A992&lt;&gt;"Y",B992&lt;&gt;""),B992,"")</f>
        <v/>
      </c>
    </row>
    <row r="993">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f>IF(AND(A993&lt;&gt;"Y",B993&lt;&gt;""),B993,"")</f>
        <v/>
      </c>
    </row>
    <row r="994">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f>IF(AND(A994&lt;&gt;"Y",B994&lt;&gt;""),B994,"")</f>
        <v/>
      </c>
    </row>
    <row r="995">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f>IF(AND(A995&lt;&gt;"Y",B995&lt;&gt;""),B995,"")</f>
        <v/>
      </c>
    </row>
    <row r="996">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f>IF(AND(A996&lt;&gt;"Y",B996&lt;&gt;""),B996,"")</f>
        <v/>
      </c>
    </row>
    <row r="997">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f>IF(AND(A997&lt;&gt;"Y",B997&lt;&gt;""),B997,"")</f>
        <v/>
      </c>
    </row>
    <row r="998">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f>IF(AND(A998&lt;&gt;"Y",B998&lt;&gt;""),B998,"")</f>
        <v/>
      </c>
    </row>
    <row r="999">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f>IF(AND(A999&lt;&gt;"Y",B999&lt;&gt;""),B999,"")</f>
        <v/>
      </c>
    </row>
    <row r="1000">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f>IF(AND(A1000&lt;&gt;"Y",B1000&lt;&gt;""),B1000,"")</f>
        <v/>
      </c>
    </row>
  </sheetData>
  <dataValidations count="7">
    <dataValidation sqref="A2:A1000" showDropDown="0" showInputMessage="0" showErrorMessage="0" allowBlank="1" type="list">
      <formula1>"Y"</formula1>
    </dataValidation>
    <dataValidation sqref="C2:C1000" showDropDown="0" showInputMessage="0" showErrorMessage="0" allowBlank="1" type="list">
      <formula1>"RCT,Retrospective cohort,Prospective cohort,Registry"</formula1>
    </dataValidation>
    <dataValidation sqref="F2:F1000" showDropDown="0" showInputMessage="0" showErrorMessage="0" allowBlank="1" type="list">
      <formula1>"Y,N"</formula1>
    </dataValidation>
    <dataValidation sqref="G2:G1000" showDropDown="0" showInputMessage="0" showErrorMessage="0" allowBlank="1" type="list">
      <formula1>"All patients (cancer status not reported),Cancer excluded by design,Cancer-only stratum reported,Both cancer and non-cancer strata reported separately"</formula1>
    </dataValidation>
    <dataValidation sqref="H2:H1000" showDropDown="0" showInputMessage="0" showErrorMessage="0" allowBlank="1" type="list">
      <formula1>"Recurrent VTE,Recurrent arterial thrombosis,Any recurrent thrombosis,Major bleeding,CRNMB,All-cause mortality"</formula1>
    </dataValidation>
    <dataValidation sqref="I2:I1000" showDropDown="0" showInputMessage="0" showErrorMessage="0" allowBlank="1" type="list">
      <formula1>"HR,RR,OR"</formula1>
    </dataValidation>
    <dataValidation sqref="S2:S1000" showDropDown="0" showInputMessage="0" showErrorMessage="0" allowBlank="1" type="list">
      <formula1>"RoB 2,ROBINS-I,Not yet assessed"</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44"/>
  <sheetViews>
    <sheetView showGridLines="0" workbookViewId="0">
      <selection activeCell="A1" sqref="A1"/>
    </sheetView>
  </sheetViews>
  <sheetFormatPr baseColWidth="8" defaultRowHeight="15"/>
  <cols>
    <col width="62" customWidth="1" min="1" max="1"/>
    <col width="12" customWidth="1" min="2" max="2"/>
    <col width="46" customWidth="1" min="3" max="3"/>
  </cols>
  <sheetData>
    <row r="1">
      <c r="A1" s="1" t="inlineStr">
        <is>
          <t>APS + Cancer Anticoagulation — Feasibility Dashboard</t>
        </is>
      </c>
    </row>
    <row r="2">
      <c r="A2" s="11" t="inlineStr">
        <is>
          <t>Recalculates automatically from the 'Data' tab. Worked-example rows are excluded.</t>
        </is>
      </c>
    </row>
    <row r="4">
      <c r="A4" s="12" t="inlineStr">
        <is>
          <t>1. Overall volume of evidence</t>
        </is>
      </c>
    </row>
    <row r="5">
      <c r="A5" s="13" t="inlineStr">
        <is>
          <t>Total patient-rows entered (excluding examples)</t>
        </is>
      </c>
      <c r="B5" s="14">
        <f>COUNTIFS(Data!A2:A1000,"&lt;&gt;Y",Data!B2:B1000,"&lt;&gt;")</f>
        <v/>
      </c>
      <c r="C5" s="15" t="inlineStr">
        <is>
          <t>Every case-report/series patient and every cohort/RCT patient counted once each.</t>
        </is>
      </c>
    </row>
    <row r="6">
      <c r="A6" s="13" t="inlineStr">
        <is>
          <t>Distinct studies/articles entered</t>
        </is>
      </c>
      <c r="B6" s="14">
        <f>SUMPRODUCT(((Data!Y2:Y1000)&lt;&gt;"")/COUNTIF(Data!Y2:Y1000,Data!Y2:Y1000&amp;""))</f>
        <v/>
      </c>
      <c r="C6" s="15" t="inlineStr">
        <is>
          <t>Counts unique Study_ID values — the number that matters for 'how many independent sources do we have', not the raw patient count.</t>
        </is>
      </c>
    </row>
    <row r="8">
      <c r="A8" s="12" t="inlineStr">
        <is>
          <t>2. Split by population group (Section 1.4 of the manuscript)</t>
        </is>
      </c>
    </row>
    <row r="9">
      <c r="A9" s="13" t="inlineStr">
        <is>
          <t>Group A — oncology patients, simple/transient aPL positivity</t>
        </is>
      </c>
      <c r="B9" s="14">
        <f>COUNTIFS(Data!A2:A1000,"&lt;&gt;Y",Data!K2:K1000,"A")</f>
        <v/>
      </c>
    </row>
    <row r="10">
      <c r="A10" s="13" t="inlineStr">
        <is>
          <t>Group B — oncology patients, clinically defined APS</t>
        </is>
      </c>
      <c r="B10" s="14">
        <f>COUNTIFS(Data!A2:A1000,"&lt;&gt;Y",Data!K2:K1000,"B")</f>
        <v/>
      </c>
    </row>
    <row r="11">
      <c r="A11" s="13" t="inlineStr">
        <is>
          <t>Group C — oncology patients, high-risk/triple-positive APS</t>
        </is>
      </c>
      <c r="B11" s="14">
        <f>COUNTIFS(Data!A2:A1000,"&lt;&gt;Y",Data!K2:K1000,"C")</f>
        <v/>
      </c>
      <c r="C11" s="15" t="inlineStr">
        <is>
          <t>This is the population the review is actually about — everything below focuses on it.</t>
        </is>
      </c>
    </row>
    <row r="12">
      <c r="A12" s="13" t="inlineStr">
        <is>
          <t>Distinct studies contributing at least one Group C patient</t>
        </is>
      </c>
      <c r="B12" s="14">
        <f>SUMPRODUCT(((Data!Z2:Z1000)&lt;&gt;"")/COUNTIF(Data!Z2:Z1000,Data!Z2:Z1000&amp;""))</f>
        <v/>
      </c>
    </row>
    <row r="14">
      <c r="A14" s="12" t="inlineStr">
        <is>
          <t>3. Group C — study design mix</t>
        </is>
      </c>
    </row>
    <row r="15">
      <c r="A15" s="13" t="inlineStr">
        <is>
          <t>Group C patients from case reports or case series</t>
        </is>
      </c>
      <c r="B15" s="14">
        <f>COUNTIFS(Data!A2:A1000,"&lt;&gt;Y",Data!K2:K1000,"C",Data!D2:D1000,"Case report")+COUNTIFS(Data!A2:A1000,"&lt;&gt;Y",Data!K2:K1000,"C",Data!D2:D1000,"Case series")</f>
        <v/>
      </c>
    </row>
    <row r="16">
      <c r="A16" s="13" t="inlineStr">
        <is>
          <t>Group C patients from cohorts, registries, or RCTs</t>
        </is>
      </c>
      <c r="B16" s="14">
        <f>COUNTIFS(Data!A2:A1000,"&lt;&gt;Y",Data!K2:K1000,"C",Data!D2:D1000,"Retrospective cohort")+COUNTIFS(Data!A2:A1000,"&lt;&gt;Y",Data!K2:K1000,"C",Data!D2:D1000,"Prospective cohort")+COUNTIFS(Data!A2:A1000,"&lt;&gt;Y",Data!K2:K1000,"C",Data!D2:D1000,"Registry")+COUNTIFS(Data!A2:A1000,"&lt;&gt;Y",Data!K2:K1000,"C",Data!D2:D1000,"RCT")</f>
        <v/>
      </c>
      <c r="C16" s="15" t="inlineStr">
        <is>
          <t>A non-zero count here is what would allow a genuine comparative effect estimate, not just a descriptive proportion.</t>
        </is>
      </c>
    </row>
    <row r="18">
      <c r="A18" s="12" t="inlineStr">
        <is>
          <t>4. Group C — anticoagulant strategy (comparator check)</t>
        </is>
      </c>
    </row>
    <row r="19">
      <c r="A19" s="13" t="inlineStr">
        <is>
          <t>Group C patients treated with VKA</t>
        </is>
      </c>
      <c r="B19" s="14">
        <f>COUNTIFS(Data!A2:A1000,"&lt;&gt;Y",Data!K2:K1000,"C",Data!P2:P1000,"VKA")</f>
        <v/>
      </c>
    </row>
    <row r="20">
      <c r="A20" s="13" t="inlineStr">
        <is>
          <t>Group C patients treated with a DOAC</t>
        </is>
      </c>
      <c r="B20" s="14">
        <f>COUNTIFS(Data!A2:A1000,"&lt;&gt;Y",Data!K2:K1000,"C",Data!P2:P1000,"DOAC")</f>
        <v/>
      </c>
    </row>
    <row r="21">
      <c r="A21" s="13" t="inlineStr">
        <is>
          <t>Group C patients treated with LMWH</t>
        </is>
      </c>
      <c r="B21" s="14">
        <f>COUNTIFS(Data!A2:A1000,"&lt;&gt;Y",Data!K2:K1000,"C",Data!P2:P1000,"LMWH")</f>
        <v/>
      </c>
    </row>
    <row r="23">
      <c r="A23" s="12" t="inlineStr">
        <is>
          <t>5. Group C — outcomes by strategy</t>
        </is>
      </c>
    </row>
    <row r="24">
      <c r="A24" s="13" t="inlineStr">
        <is>
          <t>VKA: recurrence Y / bleeding (major or CRNMB) Y</t>
        </is>
      </c>
      <c r="B24" s="14">
        <f>COUNTIFS(Data!A2:A1000,"&lt;&gt;Y",Data!K2:K1000,"C",Data!P2:P1000,"VKA",Data!R2:R1000,"Y")&amp;" / "&amp;(COUNTIFS(Data!A2:A1000,"&lt;&gt;Y",Data!K2:K1000,"C",Data!P2:P1000,"VKA",Data!S2:S1000,"Y")+COUNTIFS(Data!A2:A1000,"&lt;&gt;Y",Data!K2:K1000,"C",Data!P2:P1000,"VKA",Data!T2:T1000,"Y"))</f>
        <v/>
      </c>
    </row>
    <row r="25">
      <c r="A25" s="13" t="inlineStr">
        <is>
          <t>DOAC: recurrence Y / bleeding (major or CRNMB) Y</t>
        </is>
      </c>
      <c r="B25" s="14">
        <f>COUNTIFS(Data!A2:A1000,"&lt;&gt;Y",Data!K2:K1000,"C",Data!P2:P1000,"DOAC",Data!R2:R1000,"Y")&amp;" / "&amp;(COUNTIFS(Data!A2:A1000,"&lt;&gt;Y",Data!K2:K1000,"C",Data!P2:P1000,"DOAC",Data!S2:S1000,"Y")+COUNTIFS(Data!A2:A1000,"&lt;&gt;Y",Data!K2:K1000,"C",Data!P2:P1000,"DOAC",Data!T2:T1000,"Y"))</f>
        <v/>
      </c>
    </row>
    <row r="26">
      <c r="A26" s="13" t="inlineStr">
        <is>
          <t>LMWH: recurrence Y / bleeding (major or CRNMB) Y</t>
        </is>
      </c>
      <c r="B26" s="14">
        <f>COUNTIFS(Data!A2:A1000,"&lt;&gt;Y",Data!K2:K1000,"C",Data!P2:P1000,"LMWH",Data!R2:R1000,"Y")&amp;" / "&amp;(COUNTIFS(Data!A2:A1000,"&lt;&gt;Y",Data!K2:K1000,"C",Data!P2:P1000,"LMWH",Data!S2:S1000,"Y")+COUNTIFS(Data!A2:A1000,"&lt;&gt;Y",Data!K2:K1000,"C",Data!P2:P1000,"LMWH",Data!T2:T1000,"Y"))</f>
        <v/>
      </c>
    </row>
    <row r="28">
      <c r="A28" s="12" t="inlineStr">
        <is>
          <t>6. Rule-of-thumb feasibility gates (heuristics, not statistical proof — see Legend)</t>
        </is>
      </c>
    </row>
    <row r="29">
      <c r="A29" s="13" t="inlineStr">
        <is>
          <t>≥5 distinct studies with a Group C patient?</t>
        </is>
      </c>
      <c r="B29" s="14">
        <f>IF(B12&gt;=5,"Reached — worth exploring descriptive pooling","Not yet — keep collecting")</f>
        <v/>
      </c>
      <c r="C29" s="15" t="inlineStr">
        <is>
          <t>References B12 ('Distinct studies contributing at least one Group C patient').</t>
        </is>
      </c>
    </row>
    <row r="30">
      <c r="A30" s="13" t="inlineStr">
        <is>
          <t>≥10 total Group C patients?</t>
        </is>
      </c>
      <c r="B30" s="14">
        <f>IF(B11&gt;=10,"Reached","Not yet — keep collecting")</f>
        <v/>
      </c>
      <c r="C30" s="15" t="inlineStr">
        <is>
          <t>References B11 ('Group C' count in Section 2).</t>
        </is>
      </c>
    </row>
    <row r="31">
      <c r="A31" s="13" t="inlineStr">
        <is>
          <t>≥3 Group C patients on BOTH VKA and DOAC?</t>
        </is>
      </c>
      <c r="B31" s="14">
        <f>IF(AND(B19&gt;=3,B20&gt;=3),"Yes — a descriptive strategy comparison becomes defensible","No — cannot compare strategies yet")</f>
        <v/>
      </c>
      <c r="C31" s="15" t="inlineStr">
        <is>
          <t>References B19/B20 (VKA / DOAC counts in Section 4).</t>
        </is>
      </c>
    </row>
    <row r="32">
      <c r="A32" s="13" t="inlineStr">
        <is>
          <t>Any genuine comparative design (cohort/registry/RCT) in Group C?</t>
        </is>
      </c>
      <c r="B32" s="14">
        <f>IF(B16&gt;0,"Yes — a true comparative meta-analysis may be possible","No — only case-level descriptive synthesis is honest, whatever the case count")</f>
        <v/>
      </c>
      <c r="C32" s="15" t="inlineStr">
        <is>
          <t>References B16 ('cohorts, registries, or RCTs' count in Section 3).</t>
        </is>
      </c>
    </row>
    <row r="34">
      <c r="A34" s="12" t="inlineStr">
        <is>
          <t>7. Study-level effect estimates (Study_Effects tab) — Tier 1 / Tier 2 feasibility (Section 2.7)</t>
        </is>
      </c>
    </row>
    <row r="35">
      <c r="A35" s="13" t="inlineStr">
        <is>
          <t>Study-level effect rows entered (excluding example)</t>
        </is>
      </c>
      <c r="B35" s="14">
        <f>COUNTIFS(Study_Effects!A2:A1000,"&lt;&gt;Y",Study_Effects!B2:B1000,"&lt;&gt;")</f>
        <v/>
      </c>
      <c r="C35" s="15" t="inlineStr">
        <is>
          <t>Each row is one effect estimate (one outcome, one comparison, one subgroup) from one comparative study — not a patient count.</t>
        </is>
      </c>
    </row>
    <row r="36">
      <c r="A36" s="13" t="inlineStr">
        <is>
          <t>Distinct comparative studies entered</t>
        </is>
      </c>
      <c r="B36" s="14">
        <f>SUMPRODUCT(((Study_Effects!X2:X1000)&lt;&gt;"")/COUNTIF(Study_Effects!X2:X1000,Study_Effects!X2:X1000&amp;""))</f>
        <v/>
      </c>
    </row>
    <row r="37">
      <c r="A37" s="13" t="inlineStr">
        <is>
          <t>RCT vs observational effect rows</t>
        </is>
      </c>
      <c r="B37" s="14">
        <f>COUNTIFS(Study_Effects!A2:A1000,"&lt;&gt;Y",Study_Effects!C2:C1000,"RCT")&amp;" RCT / "&amp;(COUNTIFS(Study_Effects!A2:A1000,"&lt;&gt;Y",Study_Effects!C2:C1000,"Retrospective cohort")+COUNTIFS(Study_Effects!A2:A1000,"&lt;&gt;Y",Study_Effects!C2:C1000,"Prospective cohort")+COUNTIFS(Study_Effects!A2:A1000,"&lt;&gt;Y",Study_Effects!C2:C1000,"Registry"))&amp;" observational"</f>
        <v/>
      </c>
      <c r="C37" s="15" t="inlineStr">
        <is>
          <t>Section 2.7 pools these separately — a combined estimate is only a sensitivity analysis.</t>
        </is>
      </c>
    </row>
    <row r="38">
      <c r="A38" s="13" t="inlineStr">
        <is>
          <t>Effect rows from studies that report cancer status at all (Reports_cancer_status = Y)</t>
        </is>
      </c>
      <c r="B38" s="14">
        <f>COUNTIFS(Study_Effects!A2:A1000,"&lt;&gt;Y",Study_Effects!F2:F1000,"Y")</f>
        <v/>
      </c>
      <c r="C38" s="15" t="inlineStr">
        <is>
          <t>Tier 1 (cancer as a pre-specified effect modifier) needs this to be non-trivial — it is the main thing to watch as you add studies.</t>
        </is>
      </c>
    </row>
    <row r="39">
      <c r="A39" s="13" t="inlineStr">
        <is>
          <t>Effect rows reporting BOTH a cancer and a non-cancer stratum separately</t>
        </is>
      </c>
      <c r="B39" s="14">
        <f>COUNTIFS(Study_Effects!A2:A1000,"&lt;&gt;Y",Study_Effects!G2:G1000,"Both cancer and non-cancer strata reported separately")</f>
        <v/>
      </c>
      <c r="C39" s="15" t="inlineStr">
        <is>
          <t>This is the real Tier 2 gate: a formal treatment × cancer-status interaction test needs this, not just 'cancer status mentioned'.</t>
        </is>
      </c>
    </row>
    <row r="40">
      <c r="A40" s="13" t="inlineStr">
        <is>
          <t>Tier 1 reachable (any cancer-relevant effect rows at all)?</t>
        </is>
      </c>
      <c r="B40" s="14">
        <f>IF(B38&gt;0,"Yes — proceed with cancer as a pre-specified effect modifier","Not yet — no study reports cancer status")</f>
        <v/>
      </c>
    </row>
    <row r="41">
      <c r="A41" s="13" t="inlineStr">
        <is>
          <t>Tier 2 reachable (both strata reported, in &gt;=2 independent studies)?</t>
        </is>
      </c>
      <c r="B41" s="14">
        <f>IF(B39&gt;=2,"Possibly — check these are &gt;=2 independent Study_IDs before proceeding","No — Tier 2 is not supported yet, stay at Tier 1")</f>
        <v/>
      </c>
      <c r="C41" s="15" t="inlineStr">
        <is>
          <t>Manually confirm the rows behind this count come from at least two different Study_ID values, not the same study reported twice.</t>
        </is>
      </c>
    </row>
    <row r="43">
      <c r="A43" s="12" t="inlineStr">
        <is>
          <t>8. Bottom line</t>
        </is>
      </c>
    </row>
    <row r="44" ht="75" customHeight="1">
      <c r="A44" s="16" t="inlineStr">
        <is>
          <t>Even when every Section 6 gate is 'Reached', case report/series volume alone supports a descriptive systematic review with a pooled proportion at most — never a pooled comparative effect size — because case reports have no denominator, no control group, and strong publication bias (unusual or dramatic courses are reported far more often than uneventful ones). A genuine meta-analysis (Section 2.7) requires entries on the Study_Effects tab, not just patient rows on Data: Tier 1 needs studies that report cancer status at all; Tier 2 needs studies that report separate cancer and non-cancer strata; neither is available yet from the pivotal high-risk APS RCTs, which are expected to have excluded active malignancy by design.</t>
        </is>
      </c>
    </row>
  </sheetData>
  <mergeCells count="1">
    <mergeCell ref="A44:C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2026-09-02T16:52:51Z</dcterms:created>
  <dcterms:modified xsi:type="dcterms:W3CDTF">2026-09-02T16:52:54Z</dcterms:modified>
</cp:coreProperties>
</file>